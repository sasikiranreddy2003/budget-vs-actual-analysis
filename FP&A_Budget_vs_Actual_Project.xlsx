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1a077a9ce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c680716d25549d9"/>
    <x:sheet xmlns:r="http://schemas.openxmlformats.org/officeDocument/2006/relationships" name="Raw_Data" sheetId="2" r:id="Rc310c48be879476f"/>
    <x:sheet xmlns:r="http://schemas.openxmlformats.org/officeDocument/2006/relationships" name="Analysis" sheetId="3" r:id="Re69b86b4e5b14d6f"/>
    <x:sheet xmlns:r="http://schemas.openxmlformats.org/officeDocument/2006/relationships" name="Dashboard" sheetId="4" r:id="Ra03633b0402740e7"/>
    <x:sheet xmlns:r="http://schemas.openxmlformats.org/officeDocument/2006/relationships" name="Assumptions" sheetId="5" r:id="R7d1ee67adfda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mmm-yy"/>
    <x:numFmt numFmtId="202" formatCode="£#,##0;[Red](£#,##0);-"/>
    <x:numFmt numFmtId="203" formatCode="0.0%;[Red](0.0%);-"/>
    <x:numFmt numFmtId="204" formatCode="mmm"/>
  </x:numFmts>
  <x:fonts count="1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8"/>
      <x:color rgb="FFFFFFFF"/>
      <x:name val="Carlito"/>
    </x:font>
    <x:font>
      <x:b/>
      <x:sz val="13"/>
      <x:name val="Carlito"/>
    </x:font>
    <x:font>
      <x:b/>
      <x:sz val="16"/>
      <x:color rgb="FFFFFFFF"/>
      <x:name val="Carlito"/>
    </x:font>
    <x:font>
      <x:b/>
      <x:sz val="10"/>
      <x:name val="Carlito"/>
    </x:font>
    <x:font>
      <x:b/>
      <x:sz val="15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36">
    <x:border/>
    <x:border/>
    <x:border>
      <x:top style="thin">
        <x:color rgb="FF000000"/>
      </x:top>
    </x:border>
    <x:border>
      <x:top style="thin">
        <x:color rgb="FF000000"/>
      </x:top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202" fontId="6" fillId="0" borderId="2" xfId="0" applyNumberFormat="1" applyFont="1" applyFill="1" applyBorder="1"/>
    <x:xf numFmtId="202" fontId="6" fillId="0" borderId="3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7" xfId="0" applyNumberFormat="1" applyFont="1" applyFill="1" applyBorder="1"/>
    <x:xf numFmtId="0" fontId="9" fillId="4" borderId="8" xfId="0" applyNumberFormat="1" applyFont="1" applyFill="1" applyBorder="1"/>
    <x:xf numFmtId="0" fontId="9" fillId="4" borderId="9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4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horizontal="center" wrapText="1"/>
    </x:xf>
    <x:xf numFmtId="0" fontId="9" fillId="4" borderId="5" xfId="0" applyNumberFormat="1" applyFont="1" applyFill="1" applyBorder="1" applyAlignment="1">
      <x:alignment horizontal="center" wrapText="1"/>
    </x:xf>
    <x:xf numFmtId="0" fontId="9" fillId="4" borderId="6" xfId="0" applyNumberFormat="1" applyFont="1" applyFill="1" applyBorder="1" applyAlignment="1">
      <x:alignment horizontal="center" wrapText="1"/>
    </x:xf>
    <x:xf numFmtId="0" fontId="9" fillId="4" borderId="7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8" xfId="0" applyNumberFormat="1" applyFont="1" applyFill="1" applyBorder="1" applyAlignment="1">
      <x:alignment horizontal="center" wrapText="1"/>
    </x:xf>
    <x:xf numFmtId="0" fontId="9" fillId="4" borderId="9" xfId="0" applyNumberFormat="1" applyFont="1" applyFill="1" applyBorder="1" applyAlignment="1">
      <x:alignment horizontal="center" wrapText="1"/>
    </x:xf>
    <x:xf numFmtId="0" fontId="9" fillId="4" borderId="10" xfId="0" applyNumberFormat="1" applyFont="1" applyFill="1" applyBorder="1" applyAlignment="1">
      <x:alignment horizontal="center" wrapText="1"/>
    </x:xf>
    <x:xf numFmtId="0" fontId="9" fillId="4" borderId="11" xfId="0" applyNumberFormat="1" applyFont="1" applyFill="1" applyBorder="1" applyAlignment="1">
      <x:alignment horizont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9" fillId="4" borderId="5" xfId="0" applyNumberFormat="1" applyFont="1" applyFill="1" applyBorder="1" applyAlignment="1">
      <x:alignment horizontal="center" vertical="center" wrapText="1"/>
    </x:xf>
    <x:xf numFmtId="0" fontId="9" fillId="4" borderId="6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4" borderId="9" xfId="0" applyNumberFormat="1" applyFont="1" applyFill="1" applyBorder="1" applyAlignment="1">
      <x:alignment horizontal="center" vertic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2" xfId="0" applyNumberFormat="1" applyFont="1" applyFill="1" applyBorder="1"/>
    <x:xf numFmtId="0" fontId="9" fillId="4" borderId="13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8" xfId="0" applyNumberFormat="1" applyFont="1" applyFill="1" applyBorder="1"/>
    <x:xf numFmtId="0" fontId="9" fillId="4" borderId="19" xfId="0" applyNumberFormat="1" applyFont="1" applyFill="1" applyBorder="1"/>
    <x:xf numFmtId="0" fontId="9" fillId="4" borderId="12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0" fontId="9" fillId="4" borderId="17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0" fontId="9" fillId="4" borderId="19" xfId="0" applyNumberFormat="1" applyFont="1" applyFill="1" applyBorder="1" applyAlignment="1">
      <x:alignment wrapText="1"/>
    </x:xf>
    <x:xf numFmtId="0" fontId="9" fillId="4" borderId="12" xfId="0" applyNumberFormat="1" applyFont="1" applyFill="1" applyBorder="1" applyAlignment="1">
      <x:alignment horizontal="center" wrapText="1"/>
    </x:xf>
    <x:xf numFmtId="0" fontId="9" fillId="4" borderId="13" xfId="0" applyNumberFormat="1" applyFont="1" applyFill="1" applyBorder="1" applyAlignment="1">
      <x:alignment horizontal="center" wrapText="1"/>
    </x:xf>
    <x:xf numFmtId="0" fontId="9" fillId="4" borderId="14" xfId="0" applyNumberFormat="1" applyFont="1" applyFill="1" applyBorder="1" applyAlignment="1">
      <x:alignment horizontal="center" wrapText="1"/>
    </x:xf>
    <x:xf numFmtId="0" fontId="9" fillId="4" borderId="15" xfId="0" applyNumberFormat="1" applyFont="1" applyFill="1" applyBorder="1" applyAlignment="1">
      <x:alignment horizontal="center" wrapText="1"/>
    </x:xf>
    <x:xf numFmtId="0" fontId="9" fillId="4" borderId="1" xfId="0" applyNumberFormat="1" applyFont="1" applyFill="1" applyBorder="1" applyAlignment="1">
      <x:alignment horizontal="center" wrapText="1"/>
    </x:xf>
    <x:xf numFmtId="0" fontId="9" fillId="4" borderId="16" xfId="0" applyNumberFormat="1" applyFont="1" applyFill="1" applyBorder="1" applyAlignment="1">
      <x:alignment horizontal="center" wrapText="1"/>
    </x:xf>
    <x:xf numFmtId="0" fontId="9" fillId="4" borderId="17" xfId="0" applyNumberFormat="1" applyFont="1" applyFill="1" applyBorder="1" applyAlignment="1">
      <x:alignment horizontal="center" wrapText="1"/>
    </x:xf>
    <x:xf numFmtId="0" fontId="9" fillId="4" borderId="18" xfId="0" applyNumberFormat="1" applyFont="1" applyFill="1" applyBorder="1" applyAlignment="1">
      <x:alignment horizontal="center" wrapText="1"/>
    </x:xf>
    <x:xf numFmtId="0" fontId="9" fillId="4" borderId="19" xfId="0" applyNumberFormat="1" applyFont="1" applyFill="1" applyBorder="1" applyAlignment="1">
      <x:alignment horizont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4" borderId="13" xfId="0" applyNumberFormat="1" applyFont="1" applyFill="1" applyBorder="1" applyAlignment="1">
      <x:alignment horizontal="center" vertical="center" wrapText="1"/>
    </x:xf>
    <x:xf numFmtId="0" fontId="9" fillId="4" borderId="14" xfId="0" applyNumberFormat="1" applyFont="1" applyFill="1" applyBorder="1" applyAlignment="1">
      <x:alignment horizontal="center" vertical="center" wrapText="1"/>
    </x:xf>
    <x:xf numFmtId="0" fontId="9" fillId="4" borderId="15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16" xfId="0" applyNumberFormat="1" applyFont="1" applyFill="1" applyBorder="1" applyAlignment="1">
      <x:alignment horizontal="center" vertical="center" wrapText="1"/>
    </x:xf>
    <x:xf numFmtId="0" fontId="9" fillId="4" borderId="17" xfId="0" applyNumberFormat="1" applyFont="1" applyFill="1" applyBorder="1" applyAlignment="1">
      <x:alignment horizontal="center" vertical="center" wrapText="1"/>
    </x:xf>
    <x:xf numFmtId="0" fontId="9" fillId="4" borderId="18" xfId="0" applyNumberFormat="1" applyFont="1" applyFill="1" applyBorder="1" applyAlignment="1">
      <x:alignment horizontal="center" vertical="center" wrapText="1"/>
    </x:xf>
    <x:xf numFmtId="0" fontId="9" fillId="4" borderId="19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0" fillId="5" borderId="27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31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0" fontId="0" fillId="5" borderId="35" xfId="0" applyNumberFormat="1" applyFont="1" applyFill="1" applyBorder="1"/>
    <x:xf numFmtId="0" fontId="0" fillId="5" borderId="28" xfId="0" applyNumberFormat="1" applyFont="1" applyFill="1" applyBorder="1" applyAlignment="1">
      <x:alignment wrapText="1"/>
    </x:xf>
    <x:xf numFmtId="0" fontId="0" fillId="5" borderId="29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5" borderId="3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32" xfId="0" applyNumberFormat="1" applyFont="1" applyFill="1" applyBorder="1" applyAlignment="1">
      <x:alignment wrapText="1"/>
    </x:xf>
    <x:xf numFmtId="0" fontId="0" fillId="5" borderId="33" xfId="0" applyNumberFormat="1" applyFont="1" applyFill="1" applyBorder="1" applyAlignment="1">
      <x:alignment wrapText="1"/>
    </x:xf>
    <x:xf numFmtId="0" fontId="0" fillId="5" borderId="34" xfId="0" applyNumberFormat="1" applyFont="1" applyFill="1" applyBorder="1" applyAlignment="1">
      <x:alignment wrapText="1"/>
    </x:xf>
    <x:xf numFmtId="0" fontId="0" fillId="5" borderId="35" xfId="0" applyNumberFormat="1" applyFont="1" applyFill="1" applyBorder="1" applyAlignment="1">
      <x:alignment wrapText="1"/>
    </x:xf>
    <x:xf numFmtId="0" fontId="0" fillId="5" borderId="28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5" borderId="30" xfId="0" applyNumberFormat="1" applyFont="1" applyFill="1" applyBorder="1" applyAlignment="1">
      <x:alignment vertical="top" wrapText="1"/>
    </x:xf>
    <x:xf numFmtId="0" fontId="0" fillId="5" borderId="3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2" xfId="0" applyNumberFormat="1" applyFont="1" applyFill="1" applyBorder="1" applyAlignment="1">
      <x:alignment vertical="top" wrapText="1"/>
    </x:xf>
    <x:xf numFmtId="0" fontId="0" fillId="5" borderId="33" xfId="0" applyNumberFormat="1" applyFont="1" applyFill="1" applyBorder="1" applyAlignment="1">
      <x:alignment vertical="top" wrapText="1"/>
    </x:xf>
    <x:xf numFmtId="0" fontId="0" fillId="5" borderId="34" xfId="0" applyNumberFormat="1" applyFont="1" applyFill="1" applyBorder="1" applyAlignment="1">
      <x:alignment vertical="top" wrapText="1"/>
    </x:xf>
    <x:xf numFmtId="0" fontId="0" fillId="5" borderId="35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horizontal="center"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9" fillId="3" borderId="6" xfId="0" applyNumberFormat="1" applyFont="1" applyFill="1" applyBorder="1" applyAlignment="1">
      <x:alignment horizontal="center" vertical="center" wrapText="1"/>
    </x:xf>
    <x:xf numFmtId="0" fontId="11" fillId="3" borderId="4" xfId="0" applyNumberFormat="1" applyFont="1" applyFill="1" applyBorder="1" applyAlignment="1">
      <x:alignment horizontal="center" vertical="center" wrapText="1"/>
    </x:xf>
    <x:xf numFmtId="0" fontId="11" fillId="3" borderId="5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horizontal="center" vertical="center" wrapText="1"/>
    </x:xf>
    <x:xf numFmtId="0" fontId="9" fillId="3" borderId="12" xfId="0" applyNumberFormat="1" applyFont="1" applyFill="1" applyBorder="1" applyAlignment="1">
      <x:alignment horizontal="center" vertical="center" wrapText="1"/>
    </x:xf>
    <x:xf numFmtId="0" fontId="9" fillId="3" borderId="13" xfId="0" applyNumberFormat="1" applyFont="1" applyFill="1" applyBorder="1" applyAlignment="1">
      <x:alignment horizontal="center" vertical="center" wrapText="1"/>
    </x:xf>
    <x:xf numFmtId="0" fontId="9" fillId="3" borderId="14" xfId="0" applyNumberFormat="1" applyFont="1" applyFill="1" applyBorder="1" applyAlignment="1">
      <x:alignment horizontal="center"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8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12" fillId="4" borderId="10" xfId="0" applyNumberFormat="1" applyFont="1" applyFill="1" applyBorder="1" applyAlignment="1">
      <x:alignment horizontal="center" vertical="center" wrapText="1"/>
    </x:xf>
    <x:xf numFmtId="0" fontId="12" fillId="4" borderId="11" xfId="0" applyNumberFormat="1" applyFont="1" applyFill="1" applyBorder="1" applyAlignment="1">
      <x:alignment horizontal="center" vertical="center" wrapText="1"/>
    </x:xf>
    <x:xf numFmtId="202" fontId="12" fillId="4" borderId="7" xfId="0" applyNumberFormat="1" applyFont="1" applyFill="1" applyBorder="1" applyAlignment="1">
      <x:alignment horizontal="center" vertical="center" wrapText="1"/>
    </x:xf>
    <x:xf numFmtId="202" fontId="12" fillId="4" borderId="0" xfId="0" applyNumberFormat="1" applyFont="1" applyFill="1" applyBorder="1" applyAlignment="1">
      <x:alignment horizontal="center" vertical="center" wrapText="1"/>
    </x:xf>
    <x:xf numFmtId="202" fontId="12" fillId="4" borderId="8" xfId="0" applyNumberFormat="1" applyFont="1" applyFill="1" applyBorder="1" applyAlignment="1">
      <x:alignment horizontal="center" vertical="center" wrapText="1"/>
    </x:xf>
    <x:xf numFmtId="202" fontId="12" fillId="4" borderId="9" xfId="0" applyNumberFormat="1" applyFont="1" applyFill="1" applyBorder="1" applyAlignment="1">
      <x:alignment horizontal="center" vertical="center" wrapText="1"/>
    </x:xf>
    <x:xf numFmtId="202" fontId="12" fillId="4" borderId="10" xfId="0" applyNumberFormat="1" applyFont="1" applyFill="1" applyBorder="1" applyAlignment="1">
      <x:alignment horizontal="center" vertical="center" wrapText="1"/>
    </x:xf>
    <x:xf numFmtId="202" fontId="12" fillId="4" borderId="11" xfId="0" applyNumberFormat="1" applyFont="1" applyFill="1" applyBorder="1" applyAlignment="1">
      <x:alignment horizontal="center" vertical="center" wrapText="1"/>
    </x:xf>
    <x:xf numFmtId="0" fontId="12" fillId="4" borderId="15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16" xfId="0" applyNumberFormat="1" applyFont="1" applyFill="1" applyBorder="1" applyAlignment="1">
      <x:alignment horizontal="center" vertical="center" wrapText="1"/>
    </x:xf>
    <x:xf numFmtId="0" fontId="12" fillId="4" borderId="17" xfId="0" applyNumberFormat="1" applyFont="1" applyFill="1" applyBorder="1" applyAlignment="1">
      <x:alignment horizontal="center" vertical="center" wrapText="1"/>
    </x:xf>
    <x:xf numFmtId="0" fontId="12" fillId="4" borderId="18" xfId="0" applyNumberFormat="1" applyFont="1" applyFill="1" applyBorder="1" applyAlignment="1">
      <x:alignment horizontal="center" vertical="center" wrapText="1"/>
    </x:xf>
    <x:xf numFmtId="0" fontId="12" fillId="4" borderId="19" xfId="0" applyNumberFormat="1" applyFont="1" applyFill="1" applyBorder="1" applyAlignment="1">
      <x:alignment horizontal="center" vertical="center" wrapText="1"/>
    </x:xf>
    <x:xf numFmtId="202" fontId="12" fillId="4" borderId="15" xfId="0" applyNumberFormat="1" applyFont="1" applyFill="1" applyBorder="1" applyAlignment="1">
      <x:alignment horizontal="center" vertical="center" wrapText="1"/>
    </x:xf>
    <x:xf numFmtId="202" fontId="12" fillId="4" borderId="1" xfId="0" applyNumberFormat="1" applyFont="1" applyFill="1" applyBorder="1" applyAlignment="1">
      <x:alignment horizontal="center" vertical="center" wrapText="1"/>
    </x:xf>
    <x:xf numFmtId="202" fontId="12" fillId="4" borderId="16" xfId="0" applyNumberFormat="1" applyFont="1" applyFill="1" applyBorder="1" applyAlignment="1">
      <x:alignment horizontal="center" vertical="center" wrapText="1"/>
    </x:xf>
    <x:xf numFmtId="202" fontId="12" fillId="4" borderId="17" xfId="0" applyNumberFormat="1" applyFont="1" applyFill="1" applyBorder="1" applyAlignment="1">
      <x:alignment horizontal="center" vertical="center" wrapText="1"/>
    </x:xf>
    <x:xf numFmtId="202" fontId="12" fillId="4" borderId="18" xfId="0" applyNumberFormat="1" applyFont="1" applyFill="1" applyBorder="1" applyAlignment="1">
      <x:alignment horizontal="center" vertical="center" wrapText="1"/>
    </x:xf>
    <x:xf numFmtId="202" fontId="12" fillId="4" borderId="1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e5c64a248464d" /><Relationship Type="http://schemas.openxmlformats.org/officeDocument/2006/relationships/theme" Target="/xl/theme/theme1.xml" Id="R957312133da94611" /><Relationship Type="http://schemas.openxmlformats.org/officeDocument/2006/relationships/sharedStrings" Target="/xl/sharedStrings.xml" Id="Rc602e80b48da41c9" /><Relationship Type="http://schemas.openxmlformats.org/officeDocument/2006/relationships/worksheet" Target="/xl/worksheets/sheet1.xml" Id="R4c680716d25549d9" /><Relationship Type="http://schemas.openxmlformats.org/officeDocument/2006/relationships/worksheet" Target="/xl/worksheets/sheet2.xml" Id="Rc310c48be879476f" /><Relationship Type="http://schemas.openxmlformats.org/officeDocument/2006/relationships/worksheet" Target="/xl/worksheets/sheet3.xml" Id="Re69b86b4e5b14d6f" /><Relationship Type="http://schemas.openxmlformats.org/officeDocument/2006/relationships/worksheet" Target="/xl/worksheets/sheet4.xml" Id="Ra03633b0402740e7" /><Relationship Type="http://schemas.openxmlformats.org/officeDocument/2006/relationships/worksheet" Target="/xl/worksheets/sheet5.xml" Id="R7d1ee67adfda4b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c243b6192e4a5d" /><Relationship Type="http://schemas.openxmlformats.org/officeDocument/2006/relationships/chart" Target="/xl/drawings/charts/chart2.xml" Id="R830614d60b00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Revenue: Budget vs Actual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Budget Revenue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£#,##0;[Red](£#,##0);-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Revenue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>£#,##0;[Red](£#,##0);-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 Spend: Budget vs Actual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'Dashboard'!$E$10:$E$14</c:f>
              <c:strCache>
                <c:ptCount val="0"/>
              </c:strCache>
            </c:strRef>
          </c:cat>
          <c:val>
            <c:numRef>
              <c:f>'Dashboard'!$F$10:$F$14</c:f>
              <c:numCache>
                <c:formatCode>£#,##0;[Red](£#,##0);-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'Dashboard'!$E$10:$E$14</c:f>
              <c:strCache>
                <c:ptCount val="0"/>
              </c:strCache>
            </c:strRef>
          </c:cat>
          <c:val>
            <c:numRef>
              <c:f>'Dashboard'!$G$10:$G$14</c:f>
              <c:numCache>
                <c:formatCode>£#,##0;[Red](£#,##0);-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243b6192e4a5d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0614d60b004b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ActualTable" displayName="BudgetActualTable" ref="A1:I361" headerRowCount="1">
  <x:tableColumns count="9">
    <x:tableColumn id="1" name="Month"/>
    <x:tableColumn id="2" name="Department"/>
    <x:tableColumn id="3" name="Account"/>
    <x:tableColumn id="4" name="Category"/>
    <x:tableColumn id="5" name="Budget (£)"/>
    <x:tableColumn id="6" name="Actual (£)"/>
    <x:tableColumn id="7" name="Variance (£)"/>
    <x:tableColumn id="8" name="Variance (%)"/>
    <x:tableColumn id="9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c0d70e9dd84c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bb707e1f2ce404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92" t="str">
        <x:v>BUDGET VS ACTUAL ANALYSIS — PORTFOLIO PROJECT</x:v>
      </x:c>
      <x:c r="B1" s="192"/>
      <x:c r="C1" s="192"/>
      <x:c r="D1" s="192"/>
      <x:c r="E1" s="192"/>
      <x:c r="F1" s="192"/>
      <x:c r="G1" s="192"/>
      <x:c r="H1" s="192"/>
    </x:row>
    <x:row r="2">
      <x:c r="A2" s="192"/>
      <x:c r="B2" s="192"/>
      <x:c r="C2" s="192"/>
      <x:c r="D2" s="192"/>
      <x:c r="E2" s="192"/>
      <x:c r="F2" s="192"/>
      <x:c r="G2" s="192"/>
      <x:c r="H2" s="192"/>
    </x:row>
    <x:row r="4">
      <x:c r="A4" s="34" t="str">
        <x:v>Section</x:v>
      </x:c>
      <x:c r="B4" s="35" t="str">
        <x:v>What to do</x:v>
      </x:c>
    </x:row>
    <x:row r="5">
      <x:c r="A5" t="str">
        <x:v>1. Raw_Data</x:v>
      </x:c>
      <x:c r="B5" s="196" t="str">
        <x:v>Review the realistic monthly budget and actual dataset. Blue cells are hardcoded inputs.</x:v>
      </x:c>
    </x:row>
    <x:row r="6">
      <x:c r="A6" t="str">
        <x:v>2. Analysis</x:v>
      </x:c>
      <x:c r="B6" s="196" t="str">
        <x:v>Use SUMIFS to summarise monthly revenue, expenses, profit variance, and department performance.</x:v>
      </x:c>
    </x:row>
    <x:row r="7">
      <x:c r="A7" t="str">
        <x:v>3. Dashboard</x:v>
      </x:c>
      <x:c r="B7" s="196" t="str">
        <x:v>Present executive KPIs and charts suitable for a monthly FP&amp;A review.</x:v>
      </x:c>
    </x:row>
    <x:row r="8">
      <x:c r="A8" t="str">
        <x:v>4. Commentary</x:v>
      </x:c>
      <x:c r="B8" s="196" t="str">
        <x:v>Explain the main drivers behind favourable and unfavourable variances.</x:v>
      </x:c>
    </x:row>
    <x:row r="9">
      <x:c r="A9" t="str">
        <x:v>5. GitHub</x:v>
      </x:c>
      <x:c r="B9" s="196" t="str">
        <x:v>Upload this workbook, dashboard screenshots, and README.md to your repository.</x:v>
      </x:c>
    </x:row>
    <x:row r="10">
      <x:c r="A10" t="str">
        <x:v>Interview talking point</x:v>
      </x:c>
      <x:c r="B10" s="196" t="str">
        <x:v>Describe how the model supports management decisions and identifies financial risks.</x:v>
      </x:c>
    </x:row>
    <x:row r="11">
      <x:c r="A11" t="str">
        <x:v>Next improvement</x:v>
      </x:c>
      <x:c r="B11" s="196" t="str">
        <x:v>Add account-level drill-down, scenario analysis, and Power Query automation.</x:v>
      </x:c>
    </x:row>
    <x:row r="12">
      <x:c r="A12" t="str">
        <x:v>Colour convention</x:v>
      </x:c>
      <x:c r="B12" s="196" t="str">
        <x:v>Blue = input; black = formula; green = cross-sheet link; yellow = assumption/commentary.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2.380000114440918" hidden="0" customWidth="1"/>
    <x:col min="3" max="3" width="20" hidden="0" customWidth="1"/>
    <x:col min="4" max="4" width="14.5" hidden="0" customWidth="1"/>
    <x:col min="5" max="5" width="10.880000114440918" hidden="0" customWidth="1"/>
    <x:col min="6" max="6" width="10.380000114440918" hidden="0" customWidth="1"/>
    <x:col min="7" max="7" width="12.130000114440918" hidden="0" customWidth="1"/>
    <x:col min="8" max="8" width="12.5" hidden="0" customWidth="1"/>
    <x:col min="9" max="9" width="30" hidden="0" customWidth="1"/>
  </x:cols>
  <x:sheetData>
    <x:row r="1">
      <x:c r="A1" s="17" t="str">
        <x:v>Month</x:v>
      </x:c>
      <x:c r="B1" s="17" t="str">
        <x:v>Department</x:v>
      </x:c>
      <x:c r="C1" s="17" t="str">
        <x:v>Account</x:v>
      </x:c>
      <x:c r="D1" s="17" t="str">
        <x:v>Category</x:v>
      </x:c>
      <x:c r="E1" s="17" t="str">
        <x:v>Budget (£)</x:v>
      </x:c>
      <x:c r="F1" s="17" t="str">
        <x:v>Actual (£)</x:v>
      </x:c>
      <x:c r="G1" s="17" t="str">
        <x:v>Variance (£)</x:v>
      </x:c>
      <x:c r="H1" s="17" t="str">
        <x:v>Variance (%)</x:v>
      </x:c>
      <x:c r="I1" s="17" t="str">
        <x:v>Comment</x:v>
      </x:c>
    </x:row>
    <x:row r="2">
      <x:c r="A2" s="26" t="n">
        <x:v>46023</x:v>
      </x:c>
      <x:c r="B2" s="12" t="str">
        <x:v>Sales</x:v>
      </x:c>
      <x:c r="C2" s="12" t="str">
        <x:v>Product Revenue</x:v>
      </x:c>
      <x:c r="D2" s="12" t="str">
        <x:v>Revenue</x:v>
      </x:c>
      <x:c r="E2" s="27" t="n">
        <x:v>182000</x:v>
      </x:c>
      <x:c r="F2" s="27" t="n">
        <x:v>164800</x:v>
      </x:c>
      <x:c r="G2" s="30" t="n">
        <x:f>F2-E2</x:f>
        <x:v>-17200</x:v>
      </x:c>
      <x:c r="H2" s="31" t="n">
        <x:f>IFERROR(G2/E2,0)</x:f>
        <x:v>-0.0945054945054945</x:v>
      </x:c>
      <x:c r="I2" s="12" t="str"/>
    </x:row>
    <x:row r="3">
      <x:c r="A3" s="26" t="n">
        <x:v>46023</x:v>
      </x:c>
      <x:c r="B3" s="12" t="str">
        <x:v>Sales</x:v>
      </x:c>
      <x:c r="C3" s="12" t="str">
        <x:v>Service Revenue</x:v>
      </x:c>
      <x:c r="D3" s="12" t="str">
        <x:v>Revenue</x:v>
      </x:c>
      <x:c r="E3" s="27" t="n">
        <x:v>61900</x:v>
      </x:c>
      <x:c r="F3" s="27" t="n">
        <x:v>58700</x:v>
      </x:c>
      <x:c r="G3" s="30" t="n">
        <x:f>F3-E3</x:f>
        <x:v>-3200</x:v>
      </x:c>
      <x:c r="H3" s="31" t="n">
        <x:f>IFERROR(G3/E3,0)</x:f>
        <x:v>-0.051696284329563816</x:v>
      </x:c>
      <x:c r="I3" s="12" t="str"/>
    </x:row>
    <x:row r="4">
      <x:c r="A4" s="26" t="n">
        <x:v>46023</x:v>
      </x:c>
      <x:c r="B4" s="12" t="str">
        <x:v>Sales</x:v>
      </x:c>
      <x:c r="C4" s="12" t="str">
        <x:v>Payroll</x:v>
      </x:c>
      <x:c r="D4" s="12" t="str">
        <x:v>Operating Expense</x:v>
      </x:c>
      <x:c r="E4" s="27" t="n">
        <x:v>53000</x:v>
      </x:c>
      <x:c r="F4" s="27" t="n">
        <x:v>56300</x:v>
      </x:c>
      <x:c r="G4" s="30" t="n">
        <x:f>F4-E4</x:f>
        <x:v>3300</x:v>
      </x:c>
      <x:c r="H4" s="31" t="n">
        <x:f>IFERROR(G4/E4,0)</x:f>
        <x:v>0.062264150943396226</x:v>
      </x:c>
      <x:c r="I4" s="12" t="str"/>
    </x:row>
    <x:row r="5">
      <x:c r="A5" s="26" t="n">
        <x:v>46023</x:v>
      </x:c>
      <x:c r="B5" s="12" t="str">
        <x:v>Sales</x:v>
      </x:c>
      <x:c r="C5" s="12" t="str">
        <x:v>Marketing Spend</x:v>
      </x:c>
      <x:c r="D5" s="12" t="str">
        <x:v>Operating Expense</x:v>
      </x:c>
      <x:c r="E5" s="27" t="n">
        <x:v>10300</x:v>
      </x:c>
      <x:c r="F5" s="27" t="n">
        <x:v>9300</x:v>
      </x:c>
      <x:c r="G5" s="30" t="n">
        <x:f>F5-E5</x:f>
        <x:v>-1000</x:v>
      </x:c>
      <x:c r="H5" s="31" t="n">
        <x:f>IFERROR(G5/E5,0)</x:f>
        <x:v>-0.0970873786407767</x:v>
      </x:c>
      <x:c r="I5" s="12" t="str"/>
    </x:row>
    <x:row r="6">
      <x:c r="A6" s="26" t="n">
        <x:v>46023</x:v>
      </x:c>
      <x:c r="B6" s="12" t="str">
        <x:v>Sales</x:v>
      </x:c>
      <x:c r="C6" s="12" t="str">
        <x:v>Rent &amp; Utilities</x:v>
      </x:c>
      <x:c r="D6" s="12" t="str">
        <x:v>Operating Expense</x:v>
      </x:c>
      <x:c r="E6" s="27" t="n">
        <x:v>8000</x:v>
      </x:c>
      <x:c r="F6" s="27" t="n">
        <x:v>7100</x:v>
      </x:c>
      <x:c r="G6" s="30" t="n">
        <x:f>F6-E6</x:f>
        <x:v>-900</x:v>
      </x:c>
      <x:c r="H6" s="31" t="n">
        <x:f>IFERROR(G6/E6,0)</x:f>
        <x:v>-0.1125</x:v>
      </x:c>
      <x:c r="I6" s="12" t="str"/>
    </x:row>
    <x:row r="7">
      <x:c r="A7" s="26" t="n">
        <x:v>46023</x:v>
      </x:c>
      <x:c r="B7" s="12" t="str">
        <x:v>Sales</x:v>
      </x:c>
      <x:c r="C7" s="12" t="str">
        <x:v>Software &amp; IT</x:v>
      </x:c>
      <x:c r="D7" s="12" t="str">
        <x:v>Operating Expense</x:v>
      </x:c>
      <x:c r="E7" s="27" t="n">
        <x:v>6800</x:v>
      </x:c>
      <x:c r="F7" s="27" t="n">
        <x:v>6900</x:v>
      </x:c>
      <x:c r="G7" s="30" t="n">
        <x:f>F7-E7</x:f>
        <x:v>100</x:v>
      </x:c>
      <x:c r="H7" s="31" t="n">
        <x:f>IFERROR(G7/E7,0)</x:f>
        <x:v>0.014705882352941176</x:v>
      </x:c>
      <x:c r="I7" s="12" t="str"/>
    </x:row>
    <x:row r="8">
      <x:c r="A8" s="26" t="n">
        <x:v>46023</x:v>
      </x:c>
      <x:c r="B8" s="12" t="str">
        <x:v>Marketing</x:v>
      </x:c>
      <x:c r="C8" s="12" t="str">
        <x:v>Product Revenue</x:v>
      </x:c>
      <x:c r="D8" s="12" t="str">
        <x:v>Revenue</x:v>
      </x:c>
      <x:c r="E8" s="27" t="n">
        <x:v>28900</x:v>
      </x:c>
      <x:c r="F8" s="27" t="n">
        <x:v>27300</x:v>
      </x:c>
      <x:c r="G8" s="30" t="n">
        <x:f>F8-E8</x:f>
        <x:v>-1600</x:v>
      </x:c>
      <x:c r="H8" s="31" t="n">
        <x:f>IFERROR(G8/E8,0)</x:f>
        <x:v>-0.05536332179930796</x:v>
      </x:c>
      <x:c r="I8" s="12" t="str"/>
    </x:row>
    <x:row r="9">
      <x:c r="A9" s="26" t="n">
        <x:v>46023</x:v>
      </x:c>
      <x:c r="B9" s="12" t="str">
        <x:v>Marketing</x:v>
      </x:c>
      <x:c r="C9" s="12" t="str">
        <x:v>Service Revenue</x:v>
      </x:c>
      <x:c r="D9" s="12" t="str">
        <x:v>Revenue</x:v>
      </x:c>
      <x:c r="E9" s="27" t="n">
        <x:v>10600</x:v>
      </x:c>
      <x:c r="F9" s="27" t="n">
        <x:v>10800</x:v>
      </x:c>
      <x:c r="G9" s="30" t="n">
        <x:f>F9-E9</x:f>
        <x:v>200</x:v>
      </x:c>
      <x:c r="H9" s="31" t="n">
        <x:f>IFERROR(G9/E9,0)</x:f>
        <x:v>0.018867924528301886</x:v>
      </x:c>
      <x:c r="I9" s="12" t="str"/>
    </x:row>
    <x:row r="10">
      <x:c r="A10" s="26" t="n">
        <x:v>46023</x:v>
      </x:c>
      <x:c r="B10" s="12" t="str">
        <x:v>Marketing</x:v>
      </x:c>
      <x:c r="C10" s="12" t="str">
        <x:v>Payroll</x:v>
      </x:c>
      <x:c r="D10" s="12" t="str">
        <x:v>Operating Expense</x:v>
      </x:c>
      <x:c r="E10" s="27" t="n">
        <x:v>33200</x:v>
      </x:c>
      <x:c r="F10" s="27" t="n">
        <x:v>34500</x:v>
      </x:c>
      <x:c r="G10" s="30" t="n">
        <x:f>F10-E10</x:f>
        <x:v>1300</x:v>
      </x:c>
      <x:c r="H10" s="31" t="n">
        <x:f>IFERROR(G10/E10,0)</x:f>
        <x:v>0.0391566265060241</x:v>
      </x:c>
      <x:c r="I10" s="12" t="str"/>
    </x:row>
    <x:row r="11">
      <x:c r="A11" s="26" t="n">
        <x:v>46023</x:v>
      </x:c>
      <x:c r="B11" s="12" t="str">
        <x:v>Marketing</x:v>
      </x:c>
      <x:c r="C11" s="12" t="str">
        <x:v>Marketing Spend</x:v>
      </x:c>
      <x:c r="D11" s="12" t="str">
        <x:v>Operating Expense</x:v>
      </x:c>
      <x:c r="E11" s="27" t="n">
        <x:v>46100</x:v>
      </x:c>
      <x:c r="F11" s="27" t="n">
        <x:v>40600</x:v>
      </x:c>
      <x:c r="G11" s="30" t="n">
        <x:f>F11-E11</x:f>
        <x:v>-5500</x:v>
      </x:c>
      <x:c r="H11" s="31" t="n">
        <x:f>IFERROR(G11/E11,0)</x:f>
        <x:v>-0.1193058568329718</x:v>
      </x:c>
      <x:c r="I11" s="12" t="str"/>
    </x:row>
    <x:row r="12">
      <x:c r="A12" s="26" t="n">
        <x:v>46023</x:v>
      </x:c>
      <x:c r="B12" s="12" t="str">
        <x:v>Marketing</x:v>
      </x:c>
      <x:c r="C12" s="12" t="str">
        <x:v>Rent &amp; Utilities</x:v>
      </x:c>
      <x:c r="D12" s="12" t="str">
        <x:v>Operating Expense</x:v>
      </x:c>
      <x:c r="E12" s="27" t="n">
        <x:v>6100</x:v>
      </x:c>
      <x:c r="F12" s="27" t="n">
        <x:v>6500</x:v>
      </x:c>
      <x:c r="G12" s="30" t="n">
        <x:f>F12-E12</x:f>
        <x:v>400</x:v>
      </x:c>
      <x:c r="H12" s="31" t="n">
        <x:f>IFERROR(G12/E12,0)</x:f>
        <x:v>0.06557377049180328</x:v>
      </x:c>
      <x:c r="I12" s="12" t="str"/>
    </x:row>
    <x:row r="13">
      <x:c r="A13" s="26" t="n">
        <x:v>46023</x:v>
      </x:c>
      <x:c r="B13" s="12" t="str">
        <x:v>Marketing</x:v>
      </x:c>
      <x:c r="C13" s="12" t="str">
        <x:v>Software &amp; IT</x:v>
      </x:c>
      <x:c r="D13" s="12" t="str">
        <x:v>Operating Expense</x:v>
      </x:c>
      <x:c r="E13" s="27" t="n">
        <x:v>8900</x:v>
      </x:c>
      <x:c r="F13" s="27" t="n">
        <x:v>8200</x:v>
      </x:c>
      <x:c r="G13" s="30" t="n">
        <x:f>F13-E13</x:f>
        <x:v>-700</x:v>
      </x:c>
      <x:c r="H13" s="31" t="n">
        <x:f>IFERROR(G13/E13,0)</x:f>
        <x:v>-0.07865168539325842</x:v>
      </x:c>
      <x:c r="I13" s="12" t="str"/>
    </x:row>
    <x:row r="14">
      <x:c r="A14" s="26" t="n">
        <x:v>46023</x:v>
      </x:c>
      <x:c r="B14" s="12" t="str">
        <x:v>Operations</x:v>
      </x:c>
      <x:c r="C14" s="12" t="str">
        <x:v>Product Revenue</x:v>
      </x:c>
      <x:c r="D14" s="12" t="str">
        <x:v>Revenue</x:v>
      </x:c>
      <x:c r="E14" s="27" t="n">
        <x:v>20700</x:v>
      </x:c>
      <x:c r="F14" s="27" t="n">
        <x:v>20200</x:v>
      </x:c>
      <x:c r="G14" s="30" t="n">
        <x:f>F14-E14</x:f>
        <x:v>-500</x:v>
      </x:c>
      <x:c r="H14" s="31" t="n">
        <x:f>IFERROR(G14/E14,0)</x:f>
        <x:v>-0.024154589371980676</x:v>
      </x:c>
      <x:c r="I14" s="12" t="str"/>
    </x:row>
    <x:row r="15">
      <x:c r="A15" s="26" t="n">
        <x:v>46023</x:v>
      </x:c>
      <x:c r="B15" s="12" t="str">
        <x:v>Operations</x:v>
      </x:c>
      <x:c r="C15" s="12" t="str">
        <x:v>Service Revenue</x:v>
      </x:c>
      <x:c r="D15" s="12" t="str">
        <x:v>Revenue</x:v>
      </x:c>
      <x:c r="E15" s="27" t="n">
        <x:v>6800</x:v>
      </x:c>
      <x:c r="F15" s="27" t="n">
        <x:v>6300</x:v>
      </x:c>
      <x:c r="G15" s="30" t="n">
        <x:f>F15-E15</x:f>
        <x:v>-500</x:v>
      </x:c>
      <x:c r="H15" s="31" t="n">
        <x:f>IFERROR(G15/E15,0)</x:f>
        <x:v>-0.07352941176470588</x:v>
      </x:c>
      <x:c r="I15" s="12" t="str"/>
    </x:row>
    <x:row r="16">
      <x:c r="A16" s="26" t="n">
        <x:v>46023</x:v>
      </x:c>
      <x:c r="B16" s="12" t="str">
        <x:v>Operations</x:v>
      </x:c>
      <x:c r="C16" s="12" t="str">
        <x:v>Payroll</x:v>
      </x:c>
      <x:c r="D16" s="12" t="str">
        <x:v>Operating Expense</x:v>
      </x:c>
      <x:c r="E16" s="27" t="n">
        <x:v>61700</x:v>
      </x:c>
      <x:c r="F16" s="27" t="n">
        <x:v>64400</x:v>
      </x:c>
      <x:c r="G16" s="30" t="n">
        <x:f>F16-E16</x:f>
        <x:v>2700</x:v>
      </x:c>
      <x:c r="H16" s="31" t="n">
        <x:f>IFERROR(G16/E16,0)</x:f>
        <x:v>0.04376012965964344</x:v>
      </x:c>
      <x:c r="I16" s="12" t="str"/>
    </x:row>
    <x:row r="17">
      <x:c r="A17" s="26" t="n">
        <x:v>46023</x:v>
      </x:c>
      <x:c r="B17" s="12" t="str">
        <x:v>Operations</x:v>
      </x:c>
      <x:c r="C17" s="12" t="str">
        <x:v>Marketing Spend</x:v>
      </x:c>
      <x:c r="D17" s="12" t="str">
        <x:v>Operating Expense</x:v>
      </x:c>
      <x:c r="E17" s="27" t="n">
        <x:v>3100</x:v>
      </x:c>
      <x:c r="F17" s="27" t="n">
        <x:v>3300</x:v>
      </x:c>
      <x:c r="G17" s="30" t="n">
        <x:f>F17-E17</x:f>
        <x:v>200</x:v>
      </x:c>
      <x:c r="H17" s="31" t="n">
        <x:f>IFERROR(G17/E17,0)</x:f>
        <x:v>0.06451612903225806</x:v>
      </x:c>
      <x:c r="I17" s="12" t="str"/>
    </x:row>
    <x:row r="18">
      <x:c r="A18" s="26" t="n">
        <x:v>46023</x:v>
      </x:c>
      <x:c r="B18" s="12" t="str">
        <x:v>Operations</x:v>
      </x:c>
      <x:c r="C18" s="12" t="str">
        <x:v>Rent &amp; Utilities</x:v>
      </x:c>
      <x:c r="D18" s="12" t="str">
        <x:v>Operating Expense</x:v>
      </x:c>
      <x:c r="E18" s="27" t="n">
        <x:v>18100</x:v>
      </x:c>
      <x:c r="F18" s="27" t="n">
        <x:v>20700</x:v>
      </x:c>
      <x:c r="G18" s="30" t="n">
        <x:f>F18-E18</x:f>
        <x:v>2600</x:v>
      </x:c>
      <x:c r="H18" s="31" t="n">
        <x:f>IFERROR(G18/E18,0)</x:f>
        <x:v>0.143646408839779</x:v>
      </x:c>
      <x:c r="I18" s="12" t="str"/>
    </x:row>
    <x:row r="19">
      <x:c r="A19" s="26" t="n">
        <x:v>46023</x:v>
      </x:c>
      <x:c r="B19" s="12" t="str">
        <x:v>Operations</x:v>
      </x:c>
      <x:c r="C19" s="12" t="str">
        <x:v>Software &amp; IT</x:v>
      </x:c>
      <x:c r="D19" s="12" t="str">
        <x:v>Operating Expense</x:v>
      </x:c>
      <x:c r="E19" s="27" t="n">
        <x:v>11900</x:v>
      </x:c>
      <x:c r="F19" s="27" t="n">
        <x:v>12200</x:v>
      </x:c>
      <x:c r="G19" s="30" t="n">
        <x:f>F19-E19</x:f>
        <x:v>300</x:v>
      </x:c>
      <x:c r="H19" s="31" t="n">
        <x:f>IFERROR(G19/E19,0)</x:f>
        <x:v>0.025210084033613446</x:v>
      </x:c>
      <x:c r="I19" s="12" t="str"/>
    </x:row>
    <x:row r="20">
      <x:c r="A20" s="26" t="n">
        <x:v>46023</x:v>
      </x:c>
      <x:c r="B20" s="12" t="str">
        <x:v>Finance</x:v>
      </x:c>
      <x:c r="C20" s="12" t="str">
        <x:v>Product Revenue</x:v>
      </x:c>
      <x:c r="D20" s="12" t="str">
        <x:v>Revenue</x:v>
      </x:c>
      <x:c r="E20" s="27" t="n">
        <x:v>10300</x:v>
      </x:c>
      <x:c r="F20" s="27" t="n">
        <x:v>10700</x:v>
      </x:c>
      <x:c r="G20" s="30" t="n">
        <x:f>F20-E20</x:f>
        <x:v>400</x:v>
      </x:c>
      <x:c r="H20" s="31" t="n">
        <x:f>IFERROR(G20/E20,0)</x:f>
        <x:v>0.038834951456310676</x:v>
      </x:c>
      <x:c r="I20" s="12" t="str"/>
    </x:row>
    <x:row r="21">
      <x:c r="A21" s="26" t="n">
        <x:v>46023</x:v>
      </x:c>
      <x:c r="B21" s="12" t="str">
        <x:v>Finance</x:v>
      </x:c>
      <x:c r="C21" s="12" t="str">
        <x:v>Service Revenue</x:v>
      </x:c>
      <x:c r="D21" s="12" t="str">
        <x:v>Revenue</x:v>
      </x:c>
      <x:c r="E21" s="27" t="n">
        <x:v>3600</x:v>
      </x:c>
      <x:c r="F21" s="27" t="n">
        <x:v>3700</x:v>
      </x:c>
      <x:c r="G21" s="30" t="n">
        <x:f>F21-E21</x:f>
        <x:v>100</x:v>
      </x:c>
      <x:c r="H21" s="31" t="n">
        <x:f>IFERROR(G21/E21,0)</x:f>
        <x:v>0.027777777777777776</x:v>
      </x:c>
      <x:c r="I21" s="12" t="str"/>
    </x:row>
    <x:row r="22">
      <x:c r="A22" s="26" t="n">
        <x:v>46023</x:v>
      </x:c>
      <x:c r="B22" s="12" t="str">
        <x:v>Finance</x:v>
      </x:c>
      <x:c r="C22" s="12" t="str">
        <x:v>Payroll</x:v>
      </x:c>
      <x:c r="D22" s="12" t="str">
        <x:v>Operating Expense</x:v>
      </x:c>
      <x:c r="E22" s="27" t="n">
        <x:v>38600</x:v>
      </x:c>
      <x:c r="F22" s="27" t="n">
        <x:v>34400</x:v>
      </x:c>
      <x:c r="G22" s="30" t="n">
        <x:f>F22-E22</x:f>
        <x:v>-4200</x:v>
      </x:c>
      <x:c r="H22" s="31" t="n">
        <x:f>IFERROR(G22/E22,0)</x:f>
        <x:v>-0.10880829015544041</x:v>
      </x:c>
      <x:c r="I22" s="12" t="str"/>
    </x:row>
    <x:row r="23">
      <x:c r="A23" s="26" t="n">
        <x:v>46023</x:v>
      </x:c>
      <x:c r="B23" s="12" t="str">
        <x:v>Finance</x:v>
      </x:c>
      <x:c r="C23" s="12" t="str">
        <x:v>Marketing Spend</x:v>
      </x:c>
      <x:c r="D23" s="12" t="str">
        <x:v>Operating Expense</x:v>
      </x:c>
      <x:c r="E23" s="27" t="n">
        <x:v>1000</x:v>
      </x:c>
      <x:c r="F23" s="27" t="n">
        <x:v>1000</x:v>
      </x:c>
      <x:c r="G23" s="30" t="n">
        <x:f>F23-E23</x:f>
        <x:v>0</x:v>
      </x:c>
      <x:c r="H23" s="31" t="n">
        <x:f>IFERROR(G23/E23,0)</x:f>
        <x:v>0</x:v>
      </x:c>
      <x:c r="I23" s="12" t="str"/>
    </x:row>
    <x:row r="24">
      <x:c r="A24" s="26" t="n">
        <x:v>46023</x:v>
      </x:c>
      <x:c r="B24" s="12" t="str">
        <x:v>Finance</x:v>
      </x:c>
      <x:c r="C24" s="12" t="str">
        <x:v>Rent &amp; Utilities</x:v>
      </x:c>
      <x:c r="D24" s="12" t="str">
        <x:v>Operating Expense</x:v>
      </x:c>
      <x:c r="E24" s="27" t="n">
        <x:v>6800</x:v>
      </x:c>
      <x:c r="F24" s="27" t="n">
        <x:v>6400</x:v>
      </x:c>
      <x:c r="G24" s="30" t="n">
        <x:f>F24-E24</x:f>
        <x:v>-400</x:v>
      </x:c>
      <x:c r="H24" s="31" t="n">
        <x:f>IFERROR(G24/E24,0)</x:f>
        <x:v>-0.058823529411764705</x:v>
      </x:c>
      <x:c r="I24" s="12" t="str"/>
    </x:row>
    <x:row r="25">
      <x:c r="A25" s="26" t="n">
        <x:v>46023</x:v>
      </x:c>
      <x:c r="B25" s="12" t="str">
        <x:v>Finance</x:v>
      </x:c>
      <x:c r="C25" s="12" t="str">
        <x:v>Software &amp; IT</x:v>
      </x:c>
      <x:c r="D25" s="12" t="str">
        <x:v>Operating Expense</x:v>
      </x:c>
      <x:c r="E25" s="27" t="n">
        <x:v>10600</x:v>
      </x:c>
      <x:c r="F25" s="27" t="n">
        <x:v>10100</x:v>
      </x:c>
      <x:c r="G25" s="30" t="n">
        <x:f>F25-E25</x:f>
        <x:v>-500</x:v>
      </x:c>
      <x:c r="H25" s="31" t="n">
        <x:f>IFERROR(G25/E25,0)</x:f>
        <x:v>-0.04716981132075472</x:v>
      </x:c>
      <x:c r="I25" s="12" t="str"/>
    </x:row>
    <x:row r="26">
      <x:c r="A26" s="26" t="n">
        <x:v>46023</x:v>
      </x:c>
      <x:c r="B26" s="12" t="str">
        <x:v>HR</x:v>
      </x:c>
      <x:c r="C26" s="12" t="str">
        <x:v>Product Revenue</x:v>
      </x:c>
      <x:c r="D26" s="12" t="str">
        <x:v>Revenue</x:v>
      </x:c>
      <x:c r="E26" s="27" t="n">
        <x:v>5100</x:v>
      </x:c>
      <x:c r="F26" s="27" t="n">
        <x:v>5000</x:v>
      </x:c>
      <x:c r="G26" s="30" t="n">
        <x:f>F26-E26</x:f>
        <x:v>-100</x:v>
      </x:c>
      <x:c r="H26" s="31" t="n">
        <x:f>IFERROR(G26/E26,0)</x:f>
        <x:v>-0.0196078431372549</x:v>
      </x:c>
      <x:c r="I26" s="12" t="str"/>
    </x:row>
    <x:row r="27">
      <x:c r="A27" s="26" t="n">
        <x:v>46023</x:v>
      </x:c>
      <x:c r="B27" s="12" t="str">
        <x:v>HR</x:v>
      </x:c>
      <x:c r="C27" s="12" t="str">
        <x:v>Service Revenue</x:v>
      </x:c>
      <x:c r="D27" s="12" t="str">
        <x:v>Revenue</x:v>
      </x:c>
      <x:c r="E27" s="27" t="n">
        <x:v>1700</x:v>
      </x:c>
      <x:c r="F27" s="27" t="n">
        <x:v>1600</x:v>
      </x:c>
      <x:c r="G27" s="30" t="n">
        <x:f>F27-E27</x:f>
        <x:v>-100</x:v>
      </x:c>
      <x:c r="H27" s="31" t="n">
        <x:f>IFERROR(G27/E27,0)</x:f>
        <x:v>-0.058823529411764705</x:v>
      </x:c>
      <x:c r="I27" s="12" t="str"/>
    </x:row>
    <x:row r="28">
      <x:c r="A28" s="26" t="n">
        <x:v>46023</x:v>
      </x:c>
      <x:c r="B28" s="12" t="str">
        <x:v>HR</x:v>
      </x:c>
      <x:c r="C28" s="12" t="str">
        <x:v>Payroll</x:v>
      </x:c>
      <x:c r="D28" s="12" t="str">
        <x:v>Operating Expense</x:v>
      </x:c>
      <x:c r="E28" s="27" t="n">
        <x:v>29400</x:v>
      </x:c>
      <x:c r="F28" s="27" t="n">
        <x:v>33300</x:v>
      </x:c>
      <x:c r="G28" s="30" t="n">
        <x:f>F28-E28</x:f>
        <x:v>3900</x:v>
      </x:c>
      <x:c r="H28" s="31" t="n">
        <x:f>IFERROR(G28/E28,0)</x:f>
        <x:v>0.1326530612244898</x:v>
      </x:c>
      <x:c r="I28" s="12" t="str"/>
    </x:row>
    <x:row r="29">
      <x:c r="A29" s="26" t="n">
        <x:v>46023</x:v>
      </x:c>
      <x:c r="B29" s="12" t="str">
        <x:v>HR</x:v>
      </x:c>
      <x:c r="C29" s="12" t="str">
        <x:v>Marketing Spend</x:v>
      </x:c>
      <x:c r="D29" s="12" t="str">
        <x:v>Operating Expense</x:v>
      </x:c>
      <x:c r="E29" s="27" t="n">
        <x:v>2000</x:v>
      </x:c>
      <x:c r="F29" s="27" t="n">
        <x:v>2100</x:v>
      </x:c>
      <x:c r="G29" s="30" t="n">
        <x:f>F29-E29</x:f>
        <x:v>100</x:v>
      </x:c>
      <x:c r="H29" s="31" t="n">
        <x:f>IFERROR(G29/E29,0)</x:f>
        <x:v>0.05</x:v>
      </x:c>
      <x:c r="I29" s="12" t="str"/>
    </x:row>
    <x:row r="30">
      <x:c r="A30" s="26" t="n">
        <x:v>46023</x:v>
      </x:c>
      <x:c r="B30" s="12" t="str">
        <x:v>HR</x:v>
      </x:c>
      <x:c r="C30" s="12" t="str">
        <x:v>Rent &amp; Utilities</x:v>
      </x:c>
      <x:c r="D30" s="12" t="str">
        <x:v>Operating Expense</x:v>
      </x:c>
      <x:c r="E30" s="27" t="n">
        <x:v>4900</x:v>
      </x:c>
      <x:c r="F30" s="27" t="n">
        <x:v>5300</x:v>
      </x:c>
      <x:c r="G30" s="30" t="n">
        <x:f>F30-E30</x:f>
        <x:v>400</x:v>
      </x:c>
      <x:c r="H30" s="31" t="n">
        <x:f>IFERROR(G30/E30,0)</x:f>
        <x:v>0.08163265306122448</x:v>
      </x:c>
      <x:c r="I30" s="12" t="str"/>
    </x:row>
    <x:row r="31">
      <x:c r="A31" s="26" t="n">
        <x:v>46023</x:v>
      </x:c>
      <x:c r="B31" s="12" t="str">
        <x:v>HR</x:v>
      </x:c>
      <x:c r="C31" s="12" t="str">
        <x:v>Software &amp; IT</x:v>
      </x:c>
      <x:c r="D31" s="12" t="str">
        <x:v>Operating Expense</x:v>
      </x:c>
      <x:c r="E31" s="27" t="n">
        <x:v>4900</x:v>
      </x:c>
      <x:c r="F31" s="27" t="n">
        <x:v>4800</x:v>
      </x:c>
      <x:c r="G31" s="30" t="n">
        <x:f>F31-E31</x:f>
        <x:v>-100</x:v>
      </x:c>
      <x:c r="H31" s="31" t="n">
        <x:f>IFERROR(G31/E31,0)</x:f>
        <x:v>-0.02040816326530612</x:v>
      </x:c>
      <x:c r="I31" s="12" t="str"/>
    </x:row>
    <x:row r="32">
      <x:c r="A32" s="26" t="n">
        <x:v>46054</x:v>
      </x:c>
      <x:c r="B32" s="12" t="str">
        <x:v>Sales</x:v>
      </x:c>
      <x:c r="C32" s="12" t="str">
        <x:v>Product Revenue</x:v>
      </x:c>
      <x:c r="D32" s="12" t="str">
        <x:v>Revenue</x:v>
      </x:c>
      <x:c r="E32" s="27" t="n">
        <x:v>198300</x:v>
      </x:c>
      <x:c r="F32" s="27" t="n">
        <x:v>206400</x:v>
      </x:c>
      <x:c r="G32" s="30" t="n">
        <x:f>F32-E32</x:f>
        <x:v>8100</x:v>
      </x:c>
      <x:c r="H32" s="31" t="n">
        <x:f>IFERROR(G32/E32,0)</x:f>
        <x:v>0.04084720121028744</x:v>
      </x:c>
      <x:c r="I32" s="12" t="str"/>
    </x:row>
    <x:row r="33">
      <x:c r="A33" s="26" t="n">
        <x:v>46054</x:v>
      </x:c>
      <x:c r="B33" s="12" t="str">
        <x:v>Sales</x:v>
      </x:c>
      <x:c r="C33" s="12" t="str">
        <x:v>Service Revenue</x:v>
      </x:c>
      <x:c r="D33" s="12" t="str">
        <x:v>Revenue</x:v>
      </x:c>
      <x:c r="E33" s="27" t="n">
        <x:v>67100</x:v>
      </x:c>
      <x:c r="F33" s="27" t="n">
        <x:v>70500</x:v>
      </x:c>
      <x:c r="G33" s="30" t="n">
        <x:f>F33-E33</x:f>
        <x:v>3400</x:v>
      </x:c>
      <x:c r="H33" s="31" t="n">
        <x:f>IFERROR(G33/E33,0)</x:f>
        <x:v>0.05067064083457526</x:v>
      </x:c>
      <x:c r="I33" s="12" t="str"/>
    </x:row>
    <x:row r="34">
      <x:c r="A34" s="26" t="n">
        <x:v>46054</x:v>
      </x:c>
      <x:c r="B34" s="12" t="str">
        <x:v>Sales</x:v>
      </x:c>
      <x:c r="C34" s="12" t="str">
        <x:v>Payroll</x:v>
      </x:c>
      <x:c r="D34" s="12" t="str">
        <x:v>Operating Expense</x:v>
      </x:c>
      <x:c r="E34" s="27" t="n">
        <x:v>53400</x:v>
      </x:c>
      <x:c r="F34" s="27" t="n">
        <x:v>58200</x:v>
      </x:c>
      <x:c r="G34" s="30" t="n">
        <x:f>F34-E34</x:f>
        <x:v>4800</x:v>
      </x:c>
      <x:c r="H34" s="31" t="n">
        <x:f>IFERROR(G34/E34,0)</x:f>
        <x:v>0.0898876404494382</x:v>
      </x:c>
      <x:c r="I34" s="12" t="str"/>
    </x:row>
    <x:row r="35">
      <x:c r="A35" s="26" t="n">
        <x:v>46054</x:v>
      </x:c>
      <x:c r="B35" s="12" t="str">
        <x:v>Sales</x:v>
      </x:c>
      <x:c r="C35" s="12" t="str">
        <x:v>Marketing Spend</x:v>
      </x:c>
      <x:c r="D35" s="12" t="str">
        <x:v>Operating Expense</x:v>
      </x:c>
      <x:c r="E35" s="27" t="n">
        <x:v>9800</x:v>
      </x:c>
      <x:c r="F35" s="27" t="n">
        <x:v>8700</x:v>
      </x:c>
      <x:c r="G35" s="30" t="n">
        <x:f>F35-E35</x:f>
        <x:v>-1100</x:v>
      </x:c>
      <x:c r="H35" s="31" t="n">
        <x:f>IFERROR(G35/E35,0)</x:f>
        <x:v>-0.11224489795918367</x:v>
      </x:c>
      <x:c r="I35" s="12" t="str"/>
    </x:row>
    <x:row r="36">
      <x:c r="A36" s="26" t="n">
        <x:v>46054</x:v>
      </x:c>
      <x:c r="B36" s="12" t="str">
        <x:v>Sales</x:v>
      </x:c>
      <x:c r="C36" s="12" t="str">
        <x:v>Rent &amp; Utilities</x:v>
      </x:c>
      <x:c r="D36" s="12" t="str">
        <x:v>Operating Expense</x:v>
      </x:c>
      <x:c r="E36" s="27" t="n">
        <x:v>7900</x:v>
      </x:c>
      <x:c r="F36" s="27" t="n">
        <x:v>7500</x:v>
      </x:c>
      <x:c r="G36" s="30" t="n">
        <x:f>F36-E36</x:f>
        <x:v>-400</x:v>
      </x:c>
      <x:c r="H36" s="31" t="n">
        <x:f>IFERROR(G36/E36,0)</x:f>
        <x:v>-0.05063291139240506</x:v>
      </x:c>
      <x:c r="I36" s="12" t="str"/>
    </x:row>
    <x:row r="37">
      <x:c r="A37" s="26" t="n">
        <x:v>46054</x:v>
      </x:c>
      <x:c r="B37" s="12" t="str">
        <x:v>Sales</x:v>
      </x:c>
      <x:c r="C37" s="12" t="str">
        <x:v>Software &amp; IT</x:v>
      </x:c>
      <x:c r="D37" s="12" t="str">
        <x:v>Operating Expense</x:v>
      </x:c>
      <x:c r="E37" s="27" t="n">
        <x:v>6800</x:v>
      </x:c>
      <x:c r="F37" s="27" t="n">
        <x:v>7700</x:v>
      </x:c>
      <x:c r="G37" s="30" t="n">
        <x:f>F37-E37</x:f>
        <x:v>900</x:v>
      </x:c>
      <x:c r="H37" s="31" t="n">
        <x:f>IFERROR(G37/E37,0)</x:f>
        <x:v>0.1323529411764706</x:v>
      </x:c>
      <x:c r="I37" s="12" t="str"/>
    </x:row>
    <x:row r="38">
      <x:c r="A38" s="26" t="n">
        <x:v>46054</x:v>
      </x:c>
      <x:c r="B38" s="12" t="str">
        <x:v>Marketing</x:v>
      </x:c>
      <x:c r="C38" s="12" t="str">
        <x:v>Product Revenue</x:v>
      </x:c>
      <x:c r="D38" s="12" t="str">
        <x:v>Revenue</x:v>
      </x:c>
      <x:c r="E38" s="27" t="n">
        <x:v>32800</x:v>
      </x:c>
      <x:c r="F38" s="27" t="n">
        <x:v>31800</x:v>
      </x:c>
      <x:c r="G38" s="30" t="n">
        <x:f>F38-E38</x:f>
        <x:v>-1000</x:v>
      </x:c>
      <x:c r="H38" s="31" t="n">
        <x:f>IFERROR(G38/E38,0)</x:f>
        <x:v>-0.03048780487804878</x:v>
      </x:c>
      <x:c r="I38" s="12" t="str"/>
    </x:row>
    <x:row r="39">
      <x:c r="A39" s="26" t="n">
        <x:v>46054</x:v>
      </x:c>
      <x:c r="B39" s="12" t="str">
        <x:v>Marketing</x:v>
      </x:c>
      <x:c r="C39" s="12" t="str">
        <x:v>Service Revenue</x:v>
      </x:c>
      <x:c r="D39" s="12" t="str">
        <x:v>Revenue</x:v>
      </x:c>
      <x:c r="E39" s="27" t="n">
        <x:v>11300</x:v>
      </x:c>
      <x:c r="F39" s="27" t="n">
        <x:v>11200</x:v>
      </x:c>
      <x:c r="G39" s="30" t="n">
        <x:f>F39-E39</x:f>
        <x:v>-100</x:v>
      </x:c>
      <x:c r="H39" s="31" t="n">
        <x:f>IFERROR(G39/E39,0)</x:f>
        <x:v>-0.008849557522123894</x:v>
      </x:c>
      <x:c r="I39" s="12" t="str"/>
    </x:row>
    <x:row r="40">
      <x:c r="A40" s="26" t="n">
        <x:v>46054</x:v>
      </x:c>
      <x:c r="B40" s="12" t="str">
        <x:v>Marketing</x:v>
      </x:c>
      <x:c r="C40" s="12" t="str">
        <x:v>Payroll</x:v>
      </x:c>
      <x:c r="D40" s="12" t="str">
        <x:v>Operating Expense</x:v>
      </x:c>
      <x:c r="E40" s="27" t="n">
        <x:v>35100</x:v>
      </x:c>
      <x:c r="F40" s="27" t="n">
        <x:v>35200</x:v>
      </x:c>
      <x:c r="G40" s="30" t="n">
        <x:f>F40-E40</x:f>
        <x:v>100</x:v>
      </x:c>
      <x:c r="H40" s="31" t="n">
        <x:f>IFERROR(G40/E40,0)</x:f>
        <x:v>0.002849002849002849</x:v>
      </x:c>
      <x:c r="I40" s="12" t="str"/>
    </x:row>
    <x:row r="41">
      <x:c r="A41" s="26" t="n">
        <x:v>46054</x:v>
      </x:c>
      <x:c r="B41" s="12" t="str">
        <x:v>Marketing</x:v>
      </x:c>
      <x:c r="C41" s="12" t="str">
        <x:v>Marketing Spend</x:v>
      </x:c>
      <x:c r="D41" s="12" t="str">
        <x:v>Operating Expense</x:v>
      </x:c>
      <x:c r="E41" s="27" t="n">
        <x:v>44200</x:v>
      </x:c>
      <x:c r="F41" s="27" t="n">
        <x:v>41800</x:v>
      </x:c>
      <x:c r="G41" s="30" t="n">
        <x:f>F41-E41</x:f>
        <x:v>-2400</x:v>
      </x:c>
      <x:c r="H41" s="31" t="n">
        <x:f>IFERROR(G41/E41,0)</x:f>
        <x:v>-0.05429864253393665</x:v>
      </x:c>
      <x:c r="I41" s="12" t="str"/>
    </x:row>
    <x:row r="42">
      <x:c r="A42" s="26" t="n">
        <x:v>46054</x:v>
      </x:c>
      <x:c r="B42" s="12" t="str">
        <x:v>Marketing</x:v>
      </x:c>
      <x:c r="C42" s="12" t="str">
        <x:v>Rent &amp; Utilities</x:v>
      </x:c>
      <x:c r="D42" s="12" t="str">
        <x:v>Operating Expense</x:v>
      </x:c>
      <x:c r="E42" s="27" t="n">
        <x:v>6000</x:v>
      </x:c>
      <x:c r="F42" s="27" t="n">
        <x:v>5700</x:v>
      </x:c>
      <x:c r="G42" s="30" t="n">
        <x:f>F42-E42</x:f>
        <x:v>-300</x:v>
      </x:c>
      <x:c r="H42" s="31" t="n">
        <x:f>IFERROR(G42/E42,0)</x:f>
        <x:v>-0.05</x:v>
      </x:c>
      <x:c r="I42" s="12" t="str"/>
    </x:row>
    <x:row r="43">
      <x:c r="A43" s="26" t="n">
        <x:v>46054</x:v>
      </x:c>
      <x:c r="B43" s="12" t="str">
        <x:v>Marketing</x:v>
      </x:c>
      <x:c r="C43" s="12" t="str">
        <x:v>Software &amp; IT</x:v>
      </x:c>
      <x:c r="D43" s="12" t="str">
        <x:v>Operating Expense</x:v>
      </x:c>
      <x:c r="E43" s="27" t="n">
        <x:v>9100</x:v>
      </x:c>
      <x:c r="F43" s="27" t="n">
        <x:v>10200</x:v>
      </x:c>
      <x:c r="G43" s="30" t="n">
        <x:f>F43-E43</x:f>
        <x:v>1100</x:v>
      </x:c>
      <x:c r="H43" s="31" t="n">
        <x:f>IFERROR(G43/E43,0)</x:f>
        <x:v>0.12087912087912088</x:v>
      </x:c>
      <x:c r="I43" s="12" t="str"/>
    </x:row>
    <x:row r="44">
      <x:c r="A44" s="26" t="n">
        <x:v>46054</x:v>
      </x:c>
      <x:c r="B44" s="12" t="str">
        <x:v>Operations</x:v>
      </x:c>
      <x:c r="C44" s="12" t="str">
        <x:v>Product Revenue</x:v>
      </x:c>
      <x:c r="D44" s="12" t="str">
        <x:v>Revenue</x:v>
      </x:c>
      <x:c r="E44" s="27" t="n">
        <x:v>21000</x:v>
      </x:c>
      <x:c r="F44" s="27" t="n">
        <x:v>19900</x:v>
      </x:c>
      <x:c r="G44" s="30" t="n">
        <x:f>F44-E44</x:f>
        <x:v>-1100</x:v>
      </x:c>
      <x:c r="H44" s="31" t="n">
        <x:f>IFERROR(G44/E44,0)</x:f>
        <x:v>-0.05238095238095238</x:v>
      </x:c>
      <x:c r="I44" s="12" t="str"/>
    </x:row>
    <x:row r="45">
      <x:c r="A45" s="26" t="n">
        <x:v>46054</x:v>
      </x:c>
      <x:c r="B45" s="12" t="str">
        <x:v>Operations</x:v>
      </x:c>
      <x:c r="C45" s="12" t="str">
        <x:v>Service Revenue</x:v>
      </x:c>
      <x:c r="D45" s="12" t="str">
        <x:v>Revenue</x:v>
      </x:c>
      <x:c r="E45" s="27" t="n">
        <x:v>7700</x:v>
      </x:c>
      <x:c r="F45" s="27" t="n">
        <x:v>7800</x:v>
      </x:c>
      <x:c r="G45" s="30" t="n">
        <x:f>F45-E45</x:f>
        <x:v>100</x:v>
      </x:c>
      <x:c r="H45" s="31" t="n">
        <x:f>IFERROR(G45/E45,0)</x:f>
        <x:v>0.012987012987012988</x:v>
      </x:c>
      <x:c r="I45" s="12" t="str"/>
    </x:row>
    <x:row r="46">
      <x:c r="A46" s="26" t="n">
        <x:v>46054</x:v>
      </x:c>
      <x:c r="B46" s="12" t="str">
        <x:v>Operations</x:v>
      </x:c>
      <x:c r="C46" s="12" t="str">
        <x:v>Payroll</x:v>
      </x:c>
      <x:c r="D46" s="12" t="str">
        <x:v>Operating Expense</x:v>
      </x:c>
      <x:c r="E46" s="27" t="n">
        <x:v>58000</x:v>
      </x:c>
      <x:c r="F46" s="27" t="n">
        <x:v>51800</x:v>
      </x:c>
      <x:c r="G46" s="30" t="n">
        <x:f>F46-E46</x:f>
        <x:v>-6200</x:v>
      </x:c>
      <x:c r="H46" s="31" t="n">
        <x:f>IFERROR(G46/E46,0)</x:f>
        <x:v>-0.10689655172413794</x:v>
      </x:c>
      <x:c r="I46" s="12" t="str"/>
    </x:row>
    <x:row r="47">
      <x:c r="A47" s="26" t="n">
        <x:v>46054</x:v>
      </x:c>
      <x:c r="B47" s="12" t="str">
        <x:v>Operations</x:v>
      </x:c>
      <x:c r="C47" s="12" t="str">
        <x:v>Marketing Spend</x:v>
      </x:c>
      <x:c r="D47" s="12" t="str">
        <x:v>Operating Expense</x:v>
      </x:c>
      <x:c r="E47" s="27" t="n">
        <x:v>2900</x:v>
      </x:c>
      <x:c r="F47" s="27" t="n">
        <x:v>3000</x:v>
      </x:c>
      <x:c r="G47" s="30" t="n">
        <x:f>F47-E47</x:f>
        <x:v>100</x:v>
      </x:c>
      <x:c r="H47" s="31" t="n">
        <x:f>IFERROR(G47/E47,0)</x:f>
        <x:v>0.034482758620689655</x:v>
      </x:c>
      <x:c r="I47" s="12" t="str"/>
    </x:row>
    <x:row r="48">
      <x:c r="A48" s="26" t="n">
        <x:v>46054</x:v>
      </x:c>
      <x:c r="B48" s="12" t="str">
        <x:v>Operations</x:v>
      </x:c>
      <x:c r="C48" s="12" t="str">
        <x:v>Rent &amp; Utilities</x:v>
      </x:c>
      <x:c r="D48" s="12" t="str">
        <x:v>Operating Expense</x:v>
      </x:c>
      <x:c r="E48" s="27" t="n">
        <x:v>18400</x:v>
      </x:c>
      <x:c r="F48" s="27" t="n">
        <x:v>18300</x:v>
      </x:c>
      <x:c r="G48" s="30" t="n">
        <x:f>F48-E48</x:f>
        <x:v>-100</x:v>
      </x:c>
      <x:c r="H48" s="31" t="n">
        <x:f>IFERROR(G48/E48,0)</x:f>
        <x:v>-0.005434782608695652</x:v>
      </x:c>
      <x:c r="I48" s="12" t="str"/>
    </x:row>
    <x:row r="49">
      <x:c r="A49" s="26" t="n">
        <x:v>46054</x:v>
      </x:c>
      <x:c r="B49" s="12" t="str">
        <x:v>Operations</x:v>
      </x:c>
      <x:c r="C49" s="12" t="str">
        <x:v>Software &amp; IT</x:v>
      </x:c>
      <x:c r="D49" s="12" t="str">
        <x:v>Operating Expense</x:v>
      </x:c>
      <x:c r="E49" s="27" t="n">
        <x:v>11600</x:v>
      </x:c>
      <x:c r="F49" s="27" t="n">
        <x:v>11400</x:v>
      </x:c>
      <x:c r="G49" s="30" t="n">
        <x:f>F49-E49</x:f>
        <x:v>-200</x:v>
      </x:c>
      <x:c r="H49" s="31" t="n">
        <x:f>IFERROR(G49/E49,0)</x:f>
        <x:v>-0.017241379310344827</x:v>
      </x:c>
      <x:c r="I49" s="12" t="str"/>
    </x:row>
    <x:row r="50">
      <x:c r="A50" s="26" t="n">
        <x:v>46054</x:v>
      </x:c>
      <x:c r="B50" s="12" t="str">
        <x:v>Finance</x:v>
      </x:c>
      <x:c r="C50" s="12" t="str">
        <x:v>Product Revenue</x:v>
      </x:c>
      <x:c r="D50" s="12" t="str">
        <x:v>Revenue</x:v>
      </x:c>
      <x:c r="E50" s="27" t="n">
        <x:v>11000</x:v>
      </x:c>
      <x:c r="F50" s="27" t="n">
        <x:v>11200</x:v>
      </x:c>
      <x:c r="G50" s="30" t="n">
        <x:f>F50-E50</x:f>
        <x:v>200</x:v>
      </x:c>
      <x:c r="H50" s="31" t="n">
        <x:f>IFERROR(G50/E50,0)</x:f>
        <x:v>0.01818181818181818</x:v>
      </x:c>
      <x:c r="I50" s="12" t="str"/>
    </x:row>
    <x:row r="51">
      <x:c r="A51" s="26" t="n">
        <x:v>46054</x:v>
      </x:c>
      <x:c r="B51" s="12" t="str">
        <x:v>Finance</x:v>
      </x:c>
      <x:c r="C51" s="12" t="str">
        <x:v>Service Revenue</x:v>
      </x:c>
      <x:c r="D51" s="12" t="str">
        <x:v>Revenue</x:v>
      </x:c>
      <x:c r="E51" s="27" t="n">
        <x:v>3800</x:v>
      </x:c>
      <x:c r="F51" s="27" t="n">
        <x:v>4100</x:v>
      </x:c>
      <x:c r="G51" s="30" t="n">
        <x:f>F51-E51</x:f>
        <x:v>300</x:v>
      </x:c>
      <x:c r="H51" s="31" t="n">
        <x:f>IFERROR(G51/E51,0)</x:f>
        <x:v>0.07894736842105263</x:v>
      </x:c>
      <x:c r="I51" s="12" t="str"/>
    </x:row>
    <x:row r="52">
      <x:c r="A52" s="26" t="n">
        <x:v>46054</x:v>
      </x:c>
      <x:c r="B52" s="12" t="str">
        <x:v>Finance</x:v>
      </x:c>
      <x:c r="C52" s="12" t="str">
        <x:v>Payroll</x:v>
      </x:c>
      <x:c r="D52" s="12" t="str">
        <x:v>Operating Expense</x:v>
      </x:c>
      <x:c r="E52" s="27" t="n">
        <x:v>36500</x:v>
      </x:c>
      <x:c r="F52" s="27" t="n">
        <x:v>39200</x:v>
      </x:c>
      <x:c r="G52" s="30" t="n">
        <x:f>F52-E52</x:f>
        <x:v>2700</x:v>
      </x:c>
      <x:c r="H52" s="31" t="n">
        <x:f>IFERROR(G52/E52,0)</x:f>
        <x:v>0.07397260273972603</x:v>
      </x:c>
      <x:c r="I52" s="12" t="str"/>
    </x:row>
    <x:row r="53">
      <x:c r="A53" s="26" t="n">
        <x:v>46054</x:v>
      </x:c>
      <x:c r="B53" s="12" t="str">
        <x:v>Finance</x:v>
      </x:c>
      <x:c r="C53" s="12" t="str">
        <x:v>Marketing Spend</x:v>
      </x:c>
      <x:c r="D53" s="12" t="str">
        <x:v>Operating Expense</x:v>
      </x:c>
      <x:c r="E53" s="27" t="n">
        <x:v>1000</x:v>
      </x:c>
      <x:c r="F53" s="27" t="n">
        <x:v>1000</x:v>
      </x:c>
      <x:c r="G53" s="30" t="n">
        <x:f>F53-E53</x:f>
        <x:v>0</x:v>
      </x:c>
      <x:c r="H53" s="31" t="n">
        <x:f>IFERROR(G53/E53,0)</x:f>
        <x:v>0</x:v>
      </x:c>
      <x:c r="I53" s="12" t="str"/>
    </x:row>
    <x:row r="54">
      <x:c r="A54" s="26" t="n">
        <x:v>46054</x:v>
      </x:c>
      <x:c r="B54" s="12" t="str">
        <x:v>Finance</x:v>
      </x:c>
      <x:c r="C54" s="12" t="str">
        <x:v>Rent &amp; Utilities</x:v>
      </x:c>
      <x:c r="D54" s="12" t="str">
        <x:v>Operating Expense</x:v>
      </x:c>
      <x:c r="E54" s="27" t="n">
        <x:v>6900</x:v>
      </x:c>
      <x:c r="F54" s="27" t="n">
        <x:v>7300</x:v>
      </x:c>
      <x:c r="G54" s="30" t="n">
        <x:f>F54-E54</x:f>
        <x:v>400</x:v>
      </x:c>
      <x:c r="H54" s="31" t="n">
        <x:f>IFERROR(G54/E54,0)</x:f>
        <x:v>0.057971014492753624</x:v>
      </x:c>
      <x:c r="I54" s="12" t="str"/>
    </x:row>
    <x:row r="55">
      <x:c r="A55" s="26" t="n">
        <x:v>46054</x:v>
      </x:c>
      <x:c r="B55" s="12" t="str">
        <x:v>Finance</x:v>
      </x:c>
      <x:c r="C55" s="12" t="str">
        <x:v>Software &amp; IT</x:v>
      </x:c>
      <x:c r="D55" s="12" t="str">
        <x:v>Operating Expense</x:v>
      </x:c>
      <x:c r="E55" s="27" t="n">
        <x:v>10700</x:v>
      </x:c>
      <x:c r="F55" s="27" t="n">
        <x:v>10700</x:v>
      </x:c>
      <x:c r="G55" s="30" t="n">
        <x:f>F55-E55</x:f>
        <x:v>0</x:v>
      </x:c>
      <x:c r="H55" s="31" t="n">
        <x:f>IFERROR(G55/E55,0)</x:f>
        <x:v>0</x:v>
      </x:c>
      <x:c r="I55" s="12" t="str"/>
    </x:row>
    <x:row r="56">
      <x:c r="A56" s="26" t="n">
        <x:v>46054</x:v>
      </x:c>
      <x:c r="B56" s="12" t="str">
        <x:v>HR</x:v>
      </x:c>
      <x:c r="C56" s="12" t="str">
        <x:v>Product Revenue</x:v>
      </x:c>
      <x:c r="D56" s="12" t="str">
        <x:v>Revenue</x:v>
      </x:c>
      <x:c r="E56" s="27" t="n">
        <x:v>5300</x:v>
      </x:c>
      <x:c r="F56" s="27" t="n">
        <x:v>5900</x:v>
      </x:c>
      <x:c r="G56" s="30" t="n">
        <x:f>F56-E56</x:f>
        <x:v>600</x:v>
      </x:c>
      <x:c r="H56" s="31" t="n">
        <x:f>IFERROR(G56/E56,0)</x:f>
        <x:v>0.11320754716981132</x:v>
      </x:c>
      <x:c r="I56" s="12" t="str"/>
    </x:row>
    <x:row r="57">
      <x:c r="A57" s="26" t="n">
        <x:v>46054</x:v>
      </x:c>
      <x:c r="B57" s="12" t="str">
        <x:v>HR</x:v>
      </x:c>
      <x:c r="C57" s="12" t="str">
        <x:v>Service Revenue</x:v>
      </x:c>
      <x:c r="D57" s="12" t="str">
        <x:v>Revenue</x:v>
      </x:c>
      <x:c r="E57" s="27" t="n">
        <x:v>1900</x:v>
      </x:c>
      <x:c r="F57" s="27" t="n">
        <x:v>1800</x:v>
      </x:c>
      <x:c r="G57" s="30" t="n">
        <x:f>F57-E57</x:f>
        <x:v>-100</x:v>
      </x:c>
      <x:c r="H57" s="31" t="n">
        <x:f>IFERROR(G57/E57,0)</x:f>
        <x:v>-0.05263157894736842</x:v>
      </x:c>
      <x:c r="I57" s="12" t="str"/>
    </x:row>
    <x:row r="58">
      <x:c r="A58" s="26" t="n">
        <x:v>46054</x:v>
      </x:c>
      <x:c r="B58" s="12" t="str">
        <x:v>HR</x:v>
      </x:c>
      <x:c r="C58" s="12" t="str">
        <x:v>Payroll</x:v>
      </x:c>
      <x:c r="D58" s="12" t="str">
        <x:v>Operating Expense</x:v>
      </x:c>
      <x:c r="E58" s="27" t="n">
        <x:v>30000</x:v>
      </x:c>
      <x:c r="F58" s="27" t="n">
        <x:v>27800</x:v>
      </x:c>
      <x:c r="G58" s="30" t="n">
        <x:f>F58-E58</x:f>
        <x:v>-2200</x:v>
      </x:c>
      <x:c r="H58" s="31" t="n">
        <x:f>IFERROR(G58/E58,0)</x:f>
        <x:v>-0.07333333333333333</x:v>
      </x:c>
      <x:c r="I58" s="12" t="str"/>
    </x:row>
    <x:row r="59">
      <x:c r="A59" s="26" t="n">
        <x:v>46054</x:v>
      </x:c>
      <x:c r="B59" s="12" t="str">
        <x:v>HR</x:v>
      </x:c>
      <x:c r="C59" s="12" t="str">
        <x:v>Marketing Spend</x:v>
      </x:c>
      <x:c r="D59" s="12" t="str">
        <x:v>Operating Expense</x:v>
      </x:c>
      <x:c r="E59" s="27" t="n">
        <x:v>2100</x:v>
      </x:c>
      <x:c r="F59" s="27" t="n">
        <x:v>2300</x:v>
      </x:c>
      <x:c r="G59" s="30" t="n">
        <x:f>F59-E59</x:f>
        <x:v>200</x:v>
      </x:c>
      <x:c r="H59" s="31" t="n">
        <x:f>IFERROR(G59/E59,0)</x:f>
        <x:v>0.09523809523809523</x:v>
      </x:c>
      <x:c r="I59" s="12" t="str"/>
    </x:row>
    <x:row r="60">
      <x:c r="A60" s="26" t="n">
        <x:v>46054</x:v>
      </x:c>
      <x:c r="B60" s="12" t="str">
        <x:v>HR</x:v>
      </x:c>
      <x:c r="C60" s="12" t="str">
        <x:v>Rent &amp; Utilities</x:v>
      </x:c>
      <x:c r="D60" s="12" t="str">
        <x:v>Operating Expense</x:v>
      </x:c>
      <x:c r="E60" s="27" t="n">
        <x:v>4900</x:v>
      </x:c>
      <x:c r="F60" s="27" t="n">
        <x:v>5200</x:v>
      </x:c>
      <x:c r="G60" s="30" t="n">
        <x:f>F60-E60</x:f>
        <x:v>300</x:v>
      </x:c>
      <x:c r="H60" s="31" t="n">
        <x:f>IFERROR(G60/E60,0)</x:f>
        <x:v>0.061224489795918366</x:v>
      </x:c>
      <x:c r="I60" s="12" t="str"/>
    </x:row>
    <x:row r="61">
      <x:c r="A61" s="26" t="n">
        <x:v>46054</x:v>
      </x:c>
      <x:c r="B61" s="12" t="str">
        <x:v>HR</x:v>
      </x:c>
      <x:c r="C61" s="12" t="str">
        <x:v>Software &amp; IT</x:v>
      </x:c>
      <x:c r="D61" s="12" t="str">
        <x:v>Operating Expense</x:v>
      </x:c>
      <x:c r="E61" s="27" t="n">
        <x:v>5000</x:v>
      </x:c>
      <x:c r="F61" s="27" t="n">
        <x:v>4600</x:v>
      </x:c>
      <x:c r="G61" s="30" t="n">
        <x:f>F61-E61</x:f>
        <x:v>-400</x:v>
      </x:c>
      <x:c r="H61" s="31" t="n">
        <x:f>IFERROR(G61/E61,0)</x:f>
        <x:v>-0.08</x:v>
      </x:c>
      <x:c r="I61" s="12" t="str"/>
    </x:row>
    <x:row r="62">
      <x:c r="A62" s="26" t="n">
        <x:v>46082</x:v>
      </x:c>
      <x:c r="B62" s="12" t="str">
        <x:v>Sales</x:v>
      </x:c>
      <x:c r="C62" s="12" t="str">
        <x:v>Product Revenue</x:v>
      </x:c>
      <x:c r="D62" s="12" t="str">
        <x:v>Revenue</x:v>
      </x:c>
      <x:c r="E62" s="27" t="n">
        <x:v>202900</x:v>
      </x:c>
      <x:c r="F62" s="27" t="n">
        <x:v>206700</x:v>
      </x:c>
      <x:c r="G62" s="30" t="n">
        <x:f>F62-E62</x:f>
        <x:v>3800</x:v>
      </x:c>
      <x:c r="H62" s="31" t="n">
        <x:f>IFERROR(G62/E62,0)</x:f>
        <x:v>0.018728437654016758</x:v>
      </x:c>
      <x:c r="I62" s="12" t="str"/>
    </x:row>
    <x:row r="63">
      <x:c r="A63" s="26" t="n">
        <x:v>46082</x:v>
      </x:c>
      <x:c r="B63" s="12" t="str">
        <x:v>Sales</x:v>
      </x:c>
      <x:c r="C63" s="12" t="str">
        <x:v>Service Revenue</x:v>
      </x:c>
      <x:c r="D63" s="12" t="str">
        <x:v>Revenue</x:v>
      </x:c>
      <x:c r="E63" s="27" t="n">
        <x:v>71100</x:v>
      </x:c>
      <x:c r="F63" s="27" t="n">
        <x:v>72300</x:v>
      </x:c>
      <x:c r="G63" s="30" t="n">
        <x:f>F63-E63</x:f>
        <x:v>1200</x:v>
      </x:c>
      <x:c r="H63" s="31" t="n">
        <x:f>IFERROR(G63/E63,0)</x:f>
        <x:v>0.016877637130801686</x:v>
      </x:c>
      <x:c r="I63" s="12" t="str"/>
    </x:row>
    <x:row r="64">
      <x:c r="A64" s="26" t="n">
        <x:v>46082</x:v>
      </x:c>
      <x:c r="B64" s="12" t="str">
        <x:v>Sales</x:v>
      </x:c>
      <x:c r="C64" s="12" t="str">
        <x:v>Payroll</x:v>
      </x:c>
      <x:c r="D64" s="12" t="str">
        <x:v>Operating Expense</x:v>
      </x:c>
      <x:c r="E64" s="27" t="n">
        <x:v>49900</x:v>
      </x:c>
      <x:c r="F64" s="27" t="n">
        <x:v>48300</x:v>
      </x:c>
      <x:c r="G64" s="30" t="n">
        <x:f>F64-E64</x:f>
        <x:v>-1600</x:v>
      </x:c>
      <x:c r="H64" s="31" t="n">
        <x:f>IFERROR(G64/E64,0)</x:f>
        <x:v>-0.03206412825651302</x:v>
      </x:c>
      <x:c r="I64" s="12" t="str"/>
    </x:row>
    <x:row r="65">
      <x:c r="A65" s="26" t="n">
        <x:v>46082</x:v>
      </x:c>
      <x:c r="B65" s="12" t="str">
        <x:v>Sales</x:v>
      </x:c>
      <x:c r="C65" s="12" t="str">
        <x:v>Marketing Spend</x:v>
      </x:c>
      <x:c r="D65" s="12" t="str">
        <x:v>Operating Expense</x:v>
      </x:c>
      <x:c r="E65" s="27" t="n">
        <x:v>9600</x:v>
      </x:c>
      <x:c r="F65" s="27" t="n">
        <x:v>10900</x:v>
      </x:c>
      <x:c r="G65" s="30" t="n">
        <x:f>F65-E65</x:f>
        <x:v>1300</x:v>
      </x:c>
      <x:c r="H65" s="31" t="n">
        <x:f>IFERROR(G65/E65,0)</x:f>
        <x:v>0.13541666666666666</x:v>
      </x:c>
      <x:c r="I65" s="12" t="str"/>
    </x:row>
    <x:row r="66">
      <x:c r="A66" s="26" t="n">
        <x:v>46082</x:v>
      </x:c>
      <x:c r="B66" s="12" t="str">
        <x:v>Sales</x:v>
      </x:c>
      <x:c r="C66" s="12" t="str">
        <x:v>Rent &amp; Utilities</x:v>
      </x:c>
      <x:c r="D66" s="12" t="str">
        <x:v>Operating Expense</x:v>
      </x:c>
      <x:c r="E66" s="27" t="n">
        <x:v>8200</x:v>
      </x:c>
      <x:c r="F66" s="27" t="n">
        <x:v>9100</x:v>
      </x:c>
      <x:c r="G66" s="30" t="n">
        <x:f>F66-E66</x:f>
        <x:v>900</x:v>
      </x:c>
      <x:c r="H66" s="31" t="n">
        <x:f>IFERROR(G66/E66,0)</x:f>
        <x:v>0.10975609756097561</x:v>
      </x:c>
      <x:c r="I66" s="12" t="str"/>
    </x:row>
    <x:row r="67">
      <x:c r="A67" s="26" t="n">
        <x:v>46082</x:v>
      </x:c>
      <x:c r="B67" s="12" t="str">
        <x:v>Sales</x:v>
      </x:c>
      <x:c r="C67" s="12" t="str">
        <x:v>Software &amp; IT</x:v>
      </x:c>
      <x:c r="D67" s="12" t="str">
        <x:v>Operating Expense</x:v>
      </x:c>
      <x:c r="E67" s="27" t="n">
        <x:v>6900</x:v>
      </x:c>
      <x:c r="F67" s="27" t="n">
        <x:v>6200</x:v>
      </x:c>
      <x:c r="G67" s="30" t="n">
        <x:f>F67-E67</x:f>
        <x:v>-700</x:v>
      </x:c>
      <x:c r="H67" s="31" t="n">
        <x:f>IFERROR(G67/E67,0)</x:f>
        <x:v>-0.10144927536231885</x:v>
      </x:c>
      <x:c r="I67" s="12" t="str"/>
    </x:row>
    <x:row r="68">
      <x:c r="A68" s="26" t="n">
        <x:v>46082</x:v>
      </x:c>
      <x:c r="B68" s="12" t="str">
        <x:v>Marketing</x:v>
      </x:c>
      <x:c r="C68" s="12" t="str">
        <x:v>Product Revenue</x:v>
      </x:c>
      <x:c r="D68" s="12" t="str">
        <x:v>Revenue</x:v>
      </x:c>
      <x:c r="E68" s="27" t="n">
        <x:v>34100</x:v>
      </x:c>
      <x:c r="F68" s="27" t="n">
        <x:v>37800</x:v>
      </x:c>
      <x:c r="G68" s="30" t="n">
        <x:f>F68-E68</x:f>
        <x:v>3700</x:v>
      </x:c>
      <x:c r="H68" s="31" t="n">
        <x:f>IFERROR(G68/E68,0)</x:f>
        <x:v>0.10850439882697947</x:v>
      </x:c>
      <x:c r="I68" s="12" t="str"/>
    </x:row>
    <x:row r="69">
      <x:c r="A69" s="26" t="n">
        <x:v>46082</x:v>
      </x:c>
      <x:c r="B69" s="12" t="str">
        <x:v>Marketing</x:v>
      </x:c>
      <x:c r="C69" s="12" t="str">
        <x:v>Service Revenue</x:v>
      </x:c>
      <x:c r="D69" s="12" t="str">
        <x:v>Revenue</x:v>
      </x:c>
      <x:c r="E69" s="27" t="n">
        <x:v>11200</x:v>
      </x:c>
      <x:c r="F69" s="27" t="n">
        <x:v>11300</x:v>
      </x:c>
      <x:c r="G69" s="30" t="n">
        <x:f>F69-E69</x:f>
        <x:v>100</x:v>
      </x:c>
      <x:c r="H69" s="31" t="n">
        <x:f>IFERROR(G69/E69,0)</x:f>
        <x:v>0.008928571428571428</x:v>
      </x:c>
      <x:c r="I69" s="12" t="str"/>
    </x:row>
    <x:row r="70">
      <x:c r="A70" s="26" t="n">
        <x:v>46082</x:v>
      </x:c>
      <x:c r="B70" s="12" t="str">
        <x:v>Marketing</x:v>
      </x:c>
      <x:c r="C70" s="12" t="str">
        <x:v>Payroll</x:v>
      </x:c>
      <x:c r="D70" s="12" t="str">
        <x:v>Operating Expense</x:v>
      </x:c>
      <x:c r="E70" s="27" t="n">
        <x:v>32800</x:v>
      </x:c>
      <x:c r="F70" s="27" t="n">
        <x:v>35600</x:v>
      </x:c>
      <x:c r="G70" s="30" t="n">
        <x:f>F70-E70</x:f>
        <x:v>2800</x:v>
      </x:c>
      <x:c r="H70" s="31" t="n">
        <x:f>IFERROR(G70/E70,0)</x:f>
        <x:v>0.08536585365853659</x:v>
      </x:c>
      <x:c r="I70" s="12" t="str"/>
    </x:row>
    <x:row r="71">
      <x:c r="A71" s="26" t="n">
        <x:v>46082</x:v>
      </x:c>
      <x:c r="B71" s="12" t="str">
        <x:v>Marketing</x:v>
      </x:c>
      <x:c r="C71" s="12" t="str">
        <x:v>Marketing Spend</x:v>
      </x:c>
      <x:c r="D71" s="12" t="str">
        <x:v>Operating Expense</x:v>
      </x:c>
      <x:c r="E71" s="27" t="n">
        <x:v>46000</x:v>
      </x:c>
      <x:c r="F71" s="27" t="n">
        <x:v>42100</x:v>
      </x:c>
      <x:c r="G71" s="30" t="n">
        <x:f>F71-E71</x:f>
        <x:v>-3900</x:v>
      </x:c>
      <x:c r="H71" s="31" t="n">
        <x:f>IFERROR(G71/E71,0)</x:f>
        <x:v>-0.08478260869565217</x:v>
      </x:c>
      <x:c r="I71" s="12" t="str"/>
    </x:row>
    <x:row r="72">
      <x:c r="A72" s="26" t="n">
        <x:v>46082</x:v>
      </x:c>
      <x:c r="B72" s="12" t="str">
        <x:v>Marketing</x:v>
      </x:c>
      <x:c r="C72" s="12" t="str">
        <x:v>Rent &amp; Utilities</x:v>
      </x:c>
      <x:c r="D72" s="12" t="str">
        <x:v>Operating Expense</x:v>
      </x:c>
      <x:c r="E72" s="27" t="n">
        <x:v>6000</x:v>
      </x:c>
      <x:c r="F72" s="27" t="n">
        <x:v>6200</x:v>
      </x:c>
      <x:c r="G72" s="30" t="n">
        <x:f>F72-E72</x:f>
        <x:v>200</x:v>
      </x:c>
      <x:c r="H72" s="31" t="n">
        <x:f>IFERROR(G72/E72,0)</x:f>
        <x:v>0.03333333333333333</x:v>
      </x:c>
      <x:c r="I72" s="12" t="str"/>
    </x:row>
    <x:row r="73">
      <x:c r="A73" s="26" t="n">
        <x:v>46082</x:v>
      </x:c>
      <x:c r="B73" s="12" t="str">
        <x:v>Marketing</x:v>
      </x:c>
      <x:c r="C73" s="12" t="str">
        <x:v>Software &amp; IT</x:v>
      </x:c>
      <x:c r="D73" s="12" t="str">
        <x:v>Operating Expense</x:v>
      </x:c>
      <x:c r="E73" s="27" t="n">
        <x:v>8800</x:v>
      </x:c>
      <x:c r="F73" s="27" t="n">
        <x:v>9800</x:v>
      </x:c>
      <x:c r="G73" s="30" t="n">
        <x:f>F73-E73</x:f>
        <x:v>1000</x:v>
      </x:c>
      <x:c r="H73" s="31" t="n">
        <x:f>IFERROR(G73/E73,0)</x:f>
        <x:v>0.11363636363636363</x:v>
      </x:c>
      <x:c r="I73" s="12" t="str"/>
    </x:row>
    <x:row r="74">
      <x:c r="A74" s="26" t="n">
        <x:v>46082</x:v>
      </x:c>
      <x:c r="B74" s="12" t="str">
        <x:v>Operations</x:v>
      </x:c>
      <x:c r="C74" s="12" t="str">
        <x:v>Product Revenue</x:v>
      </x:c>
      <x:c r="D74" s="12" t="str">
        <x:v>Revenue</x:v>
      </x:c>
      <x:c r="E74" s="27" t="n">
        <x:v>21900</x:v>
      </x:c>
      <x:c r="F74" s="27" t="n">
        <x:v>20700</x:v>
      </x:c>
      <x:c r="G74" s="30" t="n">
        <x:f>F74-E74</x:f>
        <x:v>-1200</x:v>
      </x:c>
      <x:c r="H74" s="31" t="n">
        <x:f>IFERROR(G74/E74,0)</x:f>
        <x:v>-0.0547945205479452</x:v>
      </x:c>
      <x:c r="I74" s="12" t="str"/>
    </x:row>
    <x:row r="75">
      <x:c r="A75" s="26" t="n">
        <x:v>46082</x:v>
      </x:c>
      <x:c r="B75" s="12" t="str">
        <x:v>Operations</x:v>
      </x:c>
      <x:c r="C75" s="12" t="str">
        <x:v>Service Revenue</x:v>
      </x:c>
      <x:c r="D75" s="12" t="str">
        <x:v>Revenue</x:v>
      </x:c>
      <x:c r="E75" s="27" t="n">
        <x:v>7800</x:v>
      </x:c>
      <x:c r="F75" s="27" t="n">
        <x:v>8300</x:v>
      </x:c>
      <x:c r="G75" s="30" t="n">
        <x:f>F75-E75</x:f>
        <x:v>500</x:v>
      </x:c>
      <x:c r="H75" s="31" t="n">
        <x:f>IFERROR(G75/E75,0)</x:f>
        <x:v>0.0641025641025641</x:v>
      </x:c>
      <x:c r="I75" s="12" t="str"/>
    </x:row>
    <x:row r="76">
      <x:c r="A76" s="26" t="n">
        <x:v>46082</x:v>
      </x:c>
      <x:c r="B76" s="12" t="str">
        <x:v>Operations</x:v>
      </x:c>
      <x:c r="C76" s="12" t="str">
        <x:v>Payroll</x:v>
      </x:c>
      <x:c r="D76" s="12" t="str">
        <x:v>Operating Expense</x:v>
      </x:c>
      <x:c r="E76" s="27" t="n">
        <x:v>58600</x:v>
      </x:c>
      <x:c r="F76" s="27" t="n">
        <x:v>56500</x:v>
      </x:c>
      <x:c r="G76" s="30" t="n">
        <x:f>F76-E76</x:f>
        <x:v>-2100</x:v>
      </x:c>
      <x:c r="H76" s="31" t="n">
        <x:f>IFERROR(G76/E76,0)</x:f>
        <x:v>-0.03583617747440273</x:v>
      </x:c>
      <x:c r="I76" s="12" t="str"/>
    </x:row>
    <x:row r="77">
      <x:c r="A77" s="26" t="n">
        <x:v>46082</x:v>
      </x:c>
      <x:c r="B77" s="12" t="str">
        <x:v>Operations</x:v>
      </x:c>
      <x:c r="C77" s="12" t="str">
        <x:v>Marketing Spend</x:v>
      </x:c>
      <x:c r="D77" s="12" t="str">
        <x:v>Operating Expense</x:v>
      </x:c>
      <x:c r="E77" s="27" t="n">
        <x:v>3100</x:v>
      </x:c>
      <x:c r="F77" s="27" t="n">
        <x:v>3300</x:v>
      </x:c>
      <x:c r="G77" s="30" t="n">
        <x:f>F77-E77</x:f>
        <x:v>200</x:v>
      </x:c>
      <x:c r="H77" s="31" t="n">
        <x:f>IFERROR(G77/E77,0)</x:f>
        <x:v>0.06451612903225806</x:v>
      </x:c>
      <x:c r="I77" s="12" t="str"/>
    </x:row>
    <x:row r="78">
      <x:c r="A78" s="26" t="n">
        <x:v>46082</x:v>
      </x:c>
      <x:c r="B78" s="12" t="str">
        <x:v>Operations</x:v>
      </x:c>
      <x:c r="C78" s="12" t="str">
        <x:v>Rent &amp; Utilities</x:v>
      </x:c>
      <x:c r="D78" s="12" t="str">
        <x:v>Operating Expense</x:v>
      </x:c>
      <x:c r="E78" s="27" t="n">
        <x:v>17900</x:v>
      </x:c>
      <x:c r="F78" s="27" t="n">
        <x:v>18300</x:v>
      </x:c>
      <x:c r="G78" s="30" t="n">
        <x:f>F78-E78</x:f>
        <x:v>400</x:v>
      </x:c>
      <x:c r="H78" s="31" t="n">
        <x:f>IFERROR(G78/E78,0)</x:f>
        <x:v>0.0223463687150838</x:v>
      </x:c>
      <x:c r="I78" s="12" t="str"/>
    </x:row>
    <x:row r="79">
      <x:c r="A79" s="26" t="n">
        <x:v>46082</x:v>
      </x:c>
      <x:c r="B79" s="12" t="str">
        <x:v>Operations</x:v>
      </x:c>
      <x:c r="C79" s="12" t="str">
        <x:v>Software &amp; IT</x:v>
      </x:c>
      <x:c r="D79" s="12" t="str">
        <x:v>Operating Expense</x:v>
      </x:c>
      <x:c r="E79" s="27" t="n">
        <x:v>11600</x:v>
      </x:c>
      <x:c r="F79" s="27" t="n">
        <x:v>10900</x:v>
      </x:c>
      <x:c r="G79" s="30" t="n">
        <x:f>F79-E79</x:f>
        <x:v>-700</x:v>
      </x:c>
      <x:c r="H79" s="31" t="n">
        <x:f>IFERROR(G79/E79,0)</x:f>
        <x:v>-0.0603448275862069</x:v>
      </x:c>
      <x:c r="I79" s="12" t="str"/>
    </x:row>
    <x:row r="80">
      <x:c r="A80" s="26" t="n">
        <x:v>46082</x:v>
      </x:c>
      <x:c r="B80" s="12" t="str">
        <x:v>Finance</x:v>
      </x:c>
      <x:c r="C80" s="12" t="str">
        <x:v>Product Revenue</x:v>
      </x:c>
      <x:c r="D80" s="12" t="str">
        <x:v>Revenue</x:v>
      </x:c>
      <x:c r="E80" s="27" t="n">
        <x:v>10900</x:v>
      </x:c>
      <x:c r="F80" s="27" t="n">
        <x:v>11200</x:v>
      </x:c>
      <x:c r="G80" s="30" t="n">
        <x:f>F80-E80</x:f>
        <x:v>300</x:v>
      </x:c>
      <x:c r="H80" s="31" t="n">
        <x:f>IFERROR(G80/E80,0)</x:f>
        <x:v>0.027522935779816515</x:v>
      </x:c>
      <x:c r="I80" s="12" t="str"/>
    </x:row>
    <x:row r="81">
      <x:c r="A81" s="26" t="n">
        <x:v>46082</x:v>
      </x:c>
      <x:c r="B81" s="12" t="str">
        <x:v>Finance</x:v>
      </x:c>
      <x:c r="C81" s="12" t="str">
        <x:v>Service Revenue</x:v>
      </x:c>
      <x:c r="D81" s="12" t="str">
        <x:v>Revenue</x:v>
      </x:c>
      <x:c r="E81" s="27" t="n">
        <x:v>3800</x:v>
      </x:c>
      <x:c r="F81" s="27" t="n">
        <x:v>3600</x:v>
      </x:c>
      <x:c r="G81" s="30" t="n">
        <x:f>F81-E81</x:f>
        <x:v>-200</x:v>
      </x:c>
      <x:c r="H81" s="31" t="n">
        <x:f>IFERROR(G81/E81,0)</x:f>
        <x:v>-0.05263157894736842</x:v>
      </x:c>
      <x:c r="I81" s="12" t="str"/>
    </x:row>
    <x:row r="82">
      <x:c r="A82" s="26" t="n">
        <x:v>46082</x:v>
      </x:c>
      <x:c r="B82" s="12" t="str">
        <x:v>Finance</x:v>
      </x:c>
      <x:c r="C82" s="12" t="str">
        <x:v>Payroll</x:v>
      </x:c>
      <x:c r="D82" s="12" t="str">
        <x:v>Operating Expense</x:v>
      </x:c>
      <x:c r="E82" s="27" t="n">
        <x:v>36700</x:v>
      </x:c>
      <x:c r="F82" s="27" t="n">
        <x:v>38500</x:v>
      </x:c>
      <x:c r="G82" s="30" t="n">
        <x:f>F82-E82</x:f>
        <x:v>1800</x:v>
      </x:c>
      <x:c r="H82" s="31" t="n">
        <x:f>IFERROR(G82/E82,0)</x:f>
        <x:v>0.04904632152588556</x:v>
      </x:c>
      <x:c r="I82" s="12" t="str"/>
    </x:row>
    <x:row r="83">
      <x:c r="A83" s="26" t="n">
        <x:v>46082</x:v>
      </x:c>
      <x:c r="B83" s="12" t="str">
        <x:v>Finance</x:v>
      </x:c>
      <x:c r="C83" s="12" t="str">
        <x:v>Marketing Spend</x:v>
      </x:c>
      <x:c r="D83" s="12" t="str">
        <x:v>Operating Expense</x:v>
      </x:c>
      <x:c r="E83" s="27" t="n">
        <x:v>1000</x:v>
      </x:c>
      <x:c r="F83" s="27" t="n">
        <x:v>1100</x:v>
      </x:c>
      <x:c r="G83" s="30" t="n">
        <x:f>F83-E83</x:f>
        <x:v>100</x:v>
      </x:c>
      <x:c r="H83" s="31" t="n">
        <x:f>IFERROR(G83/E83,0)</x:f>
        <x:v>0.1</x:v>
      </x:c>
      <x:c r="I83" s="12" t="str"/>
    </x:row>
    <x:row r="84">
      <x:c r="A84" s="26" t="n">
        <x:v>46082</x:v>
      </x:c>
      <x:c r="B84" s="12" t="str">
        <x:v>Finance</x:v>
      </x:c>
      <x:c r="C84" s="12" t="str">
        <x:v>Rent &amp; Utilities</x:v>
      </x:c>
      <x:c r="D84" s="12" t="str">
        <x:v>Operating Expense</x:v>
      </x:c>
      <x:c r="E84" s="27" t="n">
        <x:v>7200</x:v>
      </x:c>
      <x:c r="F84" s="27" t="n">
        <x:v>6500</x:v>
      </x:c>
      <x:c r="G84" s="30" t="n">
        <x:f>F84-E84</x:f>
        <x:v>-700</x:v>
      </x:c>
      <x:c r="H84" s="31" t="n">
        <x:f>IFERROR(G84/E84,0)</x:f>
        <x:v>-0.09722222222222222</x:v>
      </x:c>
      <x:c r="I84" s="12" t="str"/>
    </x:row>
    <x:row r="85">
      <x:c r="A85" s="26" t="n">
        <x:v>46082</x:v>
      </x:c>
      <x:c r="B85" s="12" t="str">
        <x:v>Finance</x:v>
      </x:c>
      <x:c r="C85" s="12" t="str">
        <x:v>Software &amp; IT</x:v>
      </x:c>
      <x:c r="D85" s="12" t="str">
        <x:v>Operating Expense</x:v>
      </x:c>
      <x:c r="E85" s="27" t="n">
        <x:v>10800</x:v>
      </x:c>
      <x:c r="F85" s="27" t="n">
        <x:v>11500</x:v>
      </x:c>
      <x:c r="G85" s="30" t="n">
        <x:f>F85-E85</x:f>
        <x:v>700</x:v>
      </x:c>
      <x:c r="H85" s="31" t="n">
        <x:f>IFERROR(G85/E85,0)</x:f>
        <x:v>0.06481481481481481</x:v>
      </x:c>
      <x:c r="I85" s="12" t="str"/>
    </x:row>
    <x:row r="86">
      <x:c r="A86" s="26" t="n">
        <x:v>46082</x:v>
      </x:c>
      <x:c r="B86" s="12" t="str">
        <x:v>HR</x:v>
      </x:c>
      <x:c r="C86" s="12" t="str">
        <x:v>Product Revenue</x:v>
      </x:c>
      <x:c r="D86" s="12" t="str">
        <x:v>Revenue</x:v>
      </x:c>
      <x:c r="E86" s="27" t="n">
        <x:v>5400</x:v>
      </x:c>
      <x:c r="F86" s="27" t="n">
        <x:v>5000</x:v>
      </x:c>
      <x:c r="G86" s="30" t="n">
        <x:f>F86-E86</x:f>
        <x:v>-400</x:v>
      </x:c>
      <x:c r="H86" s="31" t="n">
        <x:f>IFERROR(G86/E86,0)</x:f>
        <x:v>-0.07407407407407407</x:v>
      </x:c>
      <x:c r="I86" s="12" t="str"/>
    </x:row>
    <x:row r="87">
      <x:c r="A87" s="26" t="n">
        <x:v>46082</x:v>
      </x:c>
      <x:c r="B87" s="12" t="str">
        <x:v>HR</x:v>
      </x:c>
      <x:c r="C87" s="12" t="str">
        <x:v>Service Revenue</x:v>
      </x:c>
      <x:c r="D87" s="12" t="str">
        <x:v>Revenue</x:v>
      </x:c>
      <x:c r="E87" s="27" t="n">
        <x:v>2000</x:v>
      </x:c>
      <x:c r="F87" s="27" t="n">
        <x:v>2100</x:v>
      </x:c>
      <x:c r="G87" s="30" t="n">
        <x:f>F87-E87</x:f>
        <x:v>100</x:v>
      </x:c>
      <x:c r="H87" s="31" t="n">
        <x:f>IFERROR(G87/E87,0)</x:f>
        <x:v>0.05</x:v>
      </x:c>
      <x:c r="I87" s="12" t="str"/>
    </x:row>
    <x:row r="88">
      <x:c r="A88" s="26" t="n">
        <x:v>46082</x:v>
      </x:c>
      <x:c r="B88" s="12" t="str">
        <x:v>HR</x:v>
      </x:c>
      <x:c r="C88" s="12" t="str">
        <x:v>Payroll</x:v>
      </x:c>
      <x:c r="D88" s="12" t="str">
        <x:v>Operating Expense</x:v>
      </x:c>
      <x:c r="E88" s="27" t="n">
        <x:v>29900</x:v>
      </x:c>
      <x:c r="F88" s="27" t="n">
        <x:v>32600</x:v>
      </x:c>
      <x:c r="G88" s="30" t="n">
        <x:f>F88-E88</x:f>
        <x:v>2700</x:v>
      </x:c>
      <x:c r="H88" s="31" t="n">
        <x:f>IFERROR(G88/E88,0)</x:f>
        <x:v>0.0903010033444816</x:v>
      </x:c>
      <x:c r="I88" s="12" t="str"/>
    </x:row>
    <x:row r="89">
      <x:c r="A89" s="26" t="n">
        <x:v>46082</x:v>
      </x:c>
      <x:c r="B89" s="12" t="str">
        <x:v>HR</x:v>
      </x:c>
      <x:c r="C89" s="12" t="str">
        <x:v>Marketing Spend</x:v>
      </x:c>
      <x:c r="D89" s="12" t="str">
        <x:v>Operating Expense</x:v>
      </x:c>
      <x:c r="E89" s="27" t="n">
        <x:v>2000</x:v>
      </x:c>
      <x:c r="F89" s="27" t="n">
        <x:v>1900</x:v>
      </x:c>
      <x:c r="G89" s="30" t="n">
        <x:f>F89-E89</x:f>
        <x:v>-100</x:v>
      </x:c>
      <x:c r="H89" s="31" t="n">
        <x:f>IFERROR(G89/E89,0)</x:f>
        <x:v>-0.05</x:v>
      </x:c>
      <x:c r="I89" s="12" t="str"/>
    </x:row>
    <x:row r="90">
      <x:c r="A90" s="26" t="n">
        <x:v>46082</x:v>
      </x:c>
      <x:c r="B90" s="12" t="str">
        <x:v>HR</x:v>
      </x:c>
      <x:c r="C90" s="12" t="str">
        <x:v>Rent &amp; Utilities</x:v>
      </x:c>
      <x:c r="D90" s="12" t="str">
        <x:v>Operating Expense</x:v>
      </x:c>
      <x:c r="E90" s="27" t="n">
        <x:v>4800</x:v>
      </x:c>
      <x:c r="F90" s="27" t="n">
        <x:v>4800</x:v>
      </x:c>
      <x:c r="G90" s="30" t="n">
        <x:f>F90-E90</x:f>
        <x:v>0</x:v>
      </x:c>
      <x:c r="H90" s="31" t="n">
        <x:f>IFERROR(G90/E90,0)</x:f>
        <x:v>0</x:v>
      </x:c>
      <x:c r="I90" s="12" t="str"/>
    </x:row>
    <x:row r="91">
      <x:c r="A91" s="26" t="n">
        <x:v>46082</x:v>
      </x:c>
      <x:c r="B91" s="12" t="str">
        <x:v>HR</x:v>
      </x:c>
      <x:c r="C91" s="12" t="str">
        <x:v>Software &amp; IT</x:v>
      </x:c>
      <x:c r="D91" s="12" t="str">
        <x:v>Operating Expense</x:v>
      </x:c>
      <x:c r="E91" s="27" t="n">
        <x:v>5000</x:v>
      </x:c>
      <x:c r="F91" s="27" t="n">
        <x:v>5000</x:v>
      </x:c>
      <x:c r="G91" s="30" t="n">
        <x:f>F91-E91</x:f>
        <x:v>0</x:v>
      </x:c>
      <x:c r="H91" s="31" t="n">
        <x:f>IFERROR(G91/E91,0)</x:f>
        <x:v>0</x:v>
      </x:c>
      <x:c r="I91" s="12" t="str"/>
    </x:row>
    <x:row r="92">
      <x:c r="A92" s="26" t="n">
        <x:v>46113</x:v>
      </x:c>
      <x:c r="B92" s="12" t="str">
        <x:v>Sales</x:v>
      </x:c>
      <x:c r="C92" s="12" t="str">
        <x:v>Product Revenue</x:v>
      </x:c>
      <x:c r="D92" s="12" t="str">
        <x:v>Revenue</x:v>
      </x:c>
      <x:c r="E92" s="27" t="n">
        <x:v>205300</x:v>
      </x:c>
      <x:c r="F92" s="27" t="n">
        <x:v>215200</x:v>
      </x:c>
      <x:c r="G92" s="30" t="n">
        <x:f>F92-E92</x:f>
        <x:v>9900</x:v>
      </x:c>
      <x:c r="H92" s="31" t="n">
        <x:f>IFERROR(G92/E92,0)</x:f>
        <x:v>0.04822211397954213</x:v>
      </x:c>
      <x:c r="I92" s="12" t="str"/>
    </x:row>
    <x:row r="93">
      <x:c r="A93" s="26" t="n">
        <x:v>46113</x:v>
      </x:c>
      <x:c r="B93" s="12" t="str">
        <x:v>Sales</x:v>
      </x:c>
      <x:c r="C93" s="12" t="str">
        <x:v>Service Revenue</x:v>
      </x:c>
      <x:c r="D93" s="12" t="str">
        <x:v>Revenue</x:v>
      </x:c>
      <x:c r="E93" s="27" t="n">
        <x:v>73300</x:v>
      </x:c>
      <x:c r="F93" s="27" t="n">
        <x:v>67600</x:v>
      </x:c>
      <x:c r="G93" s="30" t="n">
        <x:f>F93-E93</x:f>
        <x:v>-5700</x:v>
      </x:c>
      <x:c r="H93" s="31" t="n">
        <x:f>IFERROR(G93/E93,0)</x:f>
        <x:v>-0.07776261937244201</x:v>
      </x:c>
      <x:c r="I93" s="12" t="str"/>
    </x:row>
    <x:row r="94">
      <x:c r="A94" s="26" t="n">
        <x:v>46113</x:v>
      </x:c>
      <x:c r="B94" s="12" t="str">
        <x:v>Sales</x:v>
      </x:c>
      <x:c r="C94" s="12" t="str">
        <x:v>Payroll</x:v>
      </x:c>
      <x:c r="D94" s="12" t="str">
        <x:v>Operating Expense</x:v>
      </x:c>
      <x:c r="E94" s="27" t="n">
        <x:v>51600</x:v>
      </x:c>
      <x:c r="F94" s="27" t="n">
        <x:v>50100</x:v>
      </x:c>
      <x:c r="G94" s="30" t="n">
        <x:f>F94-E94</x:f>
        <x:v>-1500</x:v>
      </x:c>
      <x:c r="H94" s="31" t="n">
        <x:f>IFERROR(G94/E94,0)</x:f>
        <x:v>-0.029069767441860465</x:v>
      </x:c>
      <x:c r="I94" s="12" t="str"/>
    </x:row>
    <x:row r="95">
      <x:c r="A95" s="26" t="n">
        <x:v>46113</x:v>
      </x:c>
      <x:c r="B95" s="12" t="str">
        <x:v>Sales</x:v>
      </x:c>
      <x:c r="C95" s="12" t="str">
        <x:v>Marketing Spend</x:v>
      </x:c>
      <x:c r="D95" s="12" t="str">
        <x:v>Operating Expense</x:v>
      </x:c>
      <x:c r="E95" s="27" t="n">
        <x:v>10300</x:v>
      </x:c>
      <x:c r="F95" s="27" t="n">
        <x:v>9800</x:v>
      </x:c>
      <x:c r="G95" s="30" t="n">
        <x:f>F95-E95</x:f>
        <x:v>-500</x:v>
      </x:c>
      <x:c r="H95" s="31" t="n">
        <x:f>IFERROR(G95/E95,0)</x:f>
        <x:v>-0.04854368932038835</x:v>
      </x:c>
      <x:c r="I95" s="12" t="str"/>
    </x:row>
    <x:row r="96">
      <x:c r="A96" s="26" t="n">
        <x:v>46113</x:v>
      </x:c>
      <x:c r="B96" s="12" t="str">
        <x:v>Sales</x:v>
      </x:c>
      <x:c r="C96" s="12" t="str">
        <x:v>Rent &amp; Utilities</x:v>
      </x:c>
      <x:c r="D96" s="12" t="str">
        <x:v>Operating Expense</x:v>
      </x:c>
      <x:c r="E96" s="27" t="n">
        <x:v>7800</x:v>
      </x:c>
      <x:c r="F96" s="27" t="n">
        <x:v>7800</x:v>
      </x:c>
      <x:c r="G96" s="30" t="n">
        <x:f>F96-E96</x:f>
        <x:v>0</x:v>
      </x:c>
      <x:c r="H96" s="31" t="n">
        <x:f>IFERROR(G96/E96,0)</x:f>
        <x:v>0</x:v>
      </x:c>
      <x:c r="I96" s="12" t="str"/>
    </x:row>
    <x:row r="97">
      <x:c r="A97" s="26" t="n">
        <x:v>46113</x:v>
      </x:c>
      <x:c r="B97" s="12" t="str">
        <x:v>Sales</x:v>
      </x:c>
      <x:c r="C97" s="12" t="str">
        <x:v>Software &amp; IT</x:v>
      </x:c>
      <x:c r="D97" s="12" t="str">
        <x:v>Operating Expense</x:v>
      </x:c>
      <x:c r="E97" s="27" t="n">
        <x:v>7000</x:v>
      </x:c>
      <x:c r="F97" s="27" t="n">
        <x:v>6700</x:v>
      </x:c>
      <x:c r="G97" s="30" t="n">
        <x:f>F97-E97</x:f>
        <x:v>-300</x:v>
      </x:c>
      <x:c r="H97" s="31" t="n">
        <x:f>IFERROR(G97/E97,0)</x:f>
        <x:v>-0.04285714285714286</x:v>
      </x:c>
      <x:c r="I97" s="12" t="str"/>
    </x:row>
    <x:row r="98">
      <x:c r="A98" s="26" t="n">
        <x:v>46113</x:v>
      </x:c>
      <x:c r="B98" s="12" t="str">
        <x:v>Marketing</x:v>
      </x:c>
      <x:c r="C98" s="12" t="str">
        <x:v>Product Revenue</x:v>
      </x:c>
      <x:c r="D98" s="12" t="str">
        <x:v>Revenue</x:v>
      </x:c>
      <x:c r="E98" s="27" t="n">
        <x:v>32900</x:v>
      </x:c>
      <x:c r="F98" s="27" t="n">
        <x:v>36300</x:v>
      </x:c>
      <x:c r="G98" s="30" t="n">
        <x:f>F98-E98</x:f>
        <x:v>3400</x:v>
      </x:c>
      <x:c r="H98" s="31" t="n">
        <x:f>IFERROR(G98/E98,0)</x:f>
        <x:v>0.1033434650455927</x:v>
      </x:c>
      <x:c r="I98" s="12" t="str"/>
    </x:row>
    <x:row r="99">
      <x:c r="A99" s="26" t="n">
        <x:v>46113</x:v>
      </x:c>
      <x:c r="B99" s="12" t="str">
        <x:v>Marketing</x:v>
      </x:c>
      <x:c r="C99" s="12" t="str">
        <x:v>Service Revenue</x:v>
      </x:c>
      <x:c r="D99" s="12" t="str">
        <x:v>Revenue</x:v>
      </x:c>
      <x:c r="E99" s="27" t="n">
        <x:v>11700</x:v>
      </x:c>
      <x:c r="F99" s="27" t="n">
        <x:v>12700</x:v>
      </x:c>
      <x:c r="G99" s="30" t="n">
        <x:f>F99-E99</x:f>
        <x:v>1000</x:v>
      </x:c>
      <x:c r="H99" s="31" t="n">
        <x:f>IFERROR(G99/E99,0)</x:f>
        <x:v>0.08547008547008547</x:v>
      </x:c>
      <x:c r="I99" s="12" t="str"/>
    </x:row>
    <x:row r="100">
      <x:c r="A100" s="26" t="n">
        <x:v>46113</x:v>
      </x:c>
      <x:c r="B100" s="12" t="str">
        <x:v>Marketing</x:v>
      </x:c>
      <x:c r="C100" s="12" t="str">
        <x:v>Payroll</x:v>
      </x:c>
      <x:c r="D100" s="12" t="str">
        <x:v>Operating Expense</x:v>
      </x:c>
      <x:c r="E100" s="27" t="n">
        <x:v>34100</x:v>
      </x:c>
      <x:c r="F100" s="27" t="n">
        <x:v>30500</x:v>
      </x:c>
      <x:c r="G100" s="30" t="n">
        <x:f>F100-E100</x:f>
        <x:v>-3600</x:v>
      </x:c>
      <x:c r="H100" s="31" t="n">
        <x:f>IFERROR(G100/E100,0)</x:f>
        <x:v>-0.10557184750733138</x:v>
      </x:c>
      <x:c r="I100" s="12" t="str"/>
    </x:row>
    <x:row r="101">
      <x:c r="A101" s="26" t="n">
        <x:v>46113</x:v>
      </x:c>
      <x:c r="B101" s="12" t="str">
        <x:v>Marketing</x:v>
      </x:c>
      <x:c r="C101" s="12" t="str">
        <x:v>Marketing Spend</x:v>
      </x:c>
      <x:c r="D101" s="12" t="str">
        <x:v>Operating Expense</x:v>
      </x:c>
      <x:c r="E101" s="27" t="n">
        <x:v>46800</x:v>
      </x:c>
      <x:c r="F101" s="27" t="n">
        <x:v>51700</x:v>
      </x:c>
      <x:c r="G101" s="30" t="n">
        <x:f>F101-E101</x:f>
        <x:v>4900</x:v>
      </x:c>
      <x:c r="H101" s="31" t="n">
        <x:f>IFERROR(G101/E101,0)</x:f>
        <x:v>0.1047008547008547</x:v>
      </x:c>
      <x:c r="I101" s="12" t="str"/>
    </x:row>
    <x:row r="102">
      <x:c r="A102" s="26" t="n">
        <x:v>46113</x:v>
      </x:c>
      <x:c r="B102" s="12" t="str">
        <x:v>Marketing</x:v>
      </x:c>
      <x:c r="C102" s="12" t="str">
        <x:v>Rent &amp; Utilities</x:v>
      </x:c>
      <x:c r="D102" s="12" t="str">
        <x:v>Operating Expense</x:v>
      </x:c>
      <x:c r="E102" s="27" t="n">
        <x:v>6200</x:v>
      </x:c>
      <x:c r="F102" s="27" t="n">
        <x:v>7000</x:v>
      </x:c>
      <x:c r="G102" s="30" t="n">
        <x:f>F102-E102</x:f>
        <x:v>800</x:v>
      </x:c>
      <x:c r="H102" s="31" t="n">
        <x:f>IFERROR(G102/E102,0)</x:f>
        <x:v>0.12903225806451613</x:v>
      </x:c>
      <x:c r="I102" s="12" t="str"/>
    </x:row>
    <x:row r="103">
      <x:c r="A103" s="26" t="n">
        <x:v>46113</x:v>
      </x:c>
      <x:c r="B103" s="12" t="str">
        <x:v>Marketing</x:v>
      </x:c>
      <x:c r="C103" s="12" t="str">
        <x:v>Software &amp; IT</x:v>
      </x:c>
      <x:c r="D103" s="12" t="str">
        <x:v>Operating Expense</x:v>
      </x:c>
      <x:c r="E103" s="27" t="n">
        <x:v>9300</x:v>
      </x:c>
      <x:c r="F103" s="27" t="n">
        <x:v>8600</x:v>
      </x:c>
      <x:c r="G103" s="30" t="n">
        <x:f>F103-E103</x:f>
        <x:v>-700</x:v>
      </x:c>
      <x:c r="H103" s="31" t="n">
        <x:f>IFERROR(G103/E103,0)</x:f>
        <x:v>-0.07526881720430108</x:v>
      </x:c>
      <x:c r="I103" s="12" t="str"/>
    </x:row>
    <x:row r="104">
      <x:c r="A104" s="26" t="n">
        <x:v>46113</x:v>
      </x:c>
      <x:c r="B104" s="12" t="str">
        <x:v>Operations</x:v>
      </x:c>
      <x:c r="C104" s="12" t="str">
        <x:v>Product Revenue</x:v>
      </x:c>
      <x:c r="D104" s="12" t="str">
        <x:v>Revenue</x:v>
      </x:c>
      <x:c r="E104" s="27" t="n">
        <x:v>22400</x:v>
      </x:c>
      <x:c r="F104" s="27" t="n">
        <x:v>21200</x:v>
      </x:c>
      <x:c r="G104" s="30" t="n">
        <x:f>F104-E104</x:f>
        <x:v>-1200</x:v>
      </x:c>
      <x:c r="H104" s="31" t="n">
        <x:f>IFERROR(G104/E104,0)</x:f>
        <x:v>-0.05357142857142857</x:v>
      </x:c>
      <x:c r="I104" s="12" t="str"/>
    </x:row>
    <x:row r="105">
      <x:c r="A105" s="26" t="n">
        <x:v>46113</x:v>
      </x:c>
      <x:c r="B105" s="12" t="str">
        <x:v>Operations</x:v>
      </x:c>
      <x:c r="C105" s="12" t="str">
        <x:v>Service Revenue</x:v>
      </x:c>
      <x:c r="D105" s="12" t="str">
        <x:v>Revenue</x:v>
      </x:c>
      <x:c r="E105" s="27" t="n">
        <x:v>7800</x:v>
      </x:c>
      <x:c r="F105" s="27" t="n">
        <x:v>7100</x:v>
      </x:c>
      <x:c r="G105" s="30" t="n">
        <x:f>F105-E105</x:f>
        <x:v>-700</x:v>
      </x:c>
      <x:c r="H105" s="31" t="n">
        <x:f>IFERROR(G105/E105,0)</x:f>
        <x:v>-0.08974358974358974</x:v>
      </x:c>
      <x:c r="I105" s="12" t="str"/>
    </x:row>
    <x:row r="106">
      <x:c r="A106" s="26" t="n">
        <x:v>46113</x:v>
      </x:c>
      <x:c r="B106" s="12" t="str">
        <x:v>Operations</x:v>
      </x:c>
      <x:c r="C106" s="12" t="str">
        <x:v>Payroll</x:v>
      </x:c>
      <x:c r="D106" s="12" t="str">
        <x:v>Operating Expense</x:v>
      </x:c>
      <x:c r="E106" s="27" t="n">
        <x:v>59400</x:v>
      </x:c>
      <x:c r="F106" s="27" t="n">
        <x:v>68100</x:v>
      </x:c>
      <x:c r="G106" s="30" t="n">
        <x:f>F106-E106</x:f>
        <x:v>8700</x:v>
      </x:c>
      <x:c r="H106" s="31" t="n">
        <x:f>IFERROR(G106/E106,0)</x:f>
        <x:v>0.14646464646464646</x:v>
      </x:c>
      <x:c r="I106" s="12" t="str"/>
    </x:row>
    <x:row r="107">
      <x:c r="A107" s="26" t="n">
        <x:v>46113</x:v>
      </x:c>
      <x:c r="B107" s="12" t="str">
        <x:v>Operations</x:v>
      </x:c>
      <x:c r="C107" s="12" t="str">
        <x:v>Marketing Spend</x:v>
      </x:c>
      <x:c r="D107" s="12" t="str">
        <x:v>Operating Expense</x:v>
      </x:c>
      <x:c r="E107" s="27" t="n">
        <x:v>2900</x:v>
      </x:c>
      <x:c r="F107" s="27" t="n">
        <x:v>3200</x:v>
      </x:c>
      <x:c r="G107" s="30" t="n">
        <x:f>F107-E107</x:f>
        <x:v>300</x:v>
      </x:c>
      <x:c r="H107" s="31" t="n">
        <x:f>IFERROR(G107/E107,0)</x:f>
        <x:v>0.10344827586206896</x:v>
      </x:c>
      <x:c r="I107" s="12" t="str"/>
    </x:row>
    <x:row r="108">
      <x:c r="A108" s="26" t="n">
        <x:v>46113</x:v>
      </x:c>
      <x:c r="B108" s="12" t="str">
        <x:v>Operations</x:v>
      </x:c>
      <x:c r="C108" s="12" t="str">
        <x:v>Rent &amp; Utilities</x:v>
      </x:c>
      <x:c r="D108" s="12" t="str">
        <x:v>Operating Expense</x:v>
      </x:c>
      <x:c r="E108" s="27" t="n">
        <x:v>17900</x:v>
      </x:c>
      <x:c r="F108" s="27" t="n">
        <x:v>17800</x:v>
      </x:c>
      <x:c r="G108" s="30" t="n">
        <x:f>F108-E108</x:f>
        <x:v>-100</x:v>
      </x:c>
      <x:c r="H108" s="31" t="n">
        <x:f>IFERROR(G108/E108,0)</x:f>
        <x:v>-0.00558659217877095</x:v>
      </x:c>
      <x:c r="I108" s="12" t="str"/>
    </x:row>
    <x:row r="109">
      <x:c r="A109" s="26" t="n">
        <x:v>46113</x:v>
      </x:c>
      <x:c r="B109" s="12" t="str">
        <x:v>Operations</x:v>
      </x:c>
      <x:c r="C109" s="12" t="str">
        <x:v>Software &amp; IT</x:v>
      </x:c>
      <x:c r="D109" s="12" t="str">
        <x:v>Operating Expense</x:v>
      </x:c>
      <x:c r="E109" s="27" t="n">
        <x:v>12400</x:v>
      </x:c>
      <x:c r="F109" s="27" t="n">
        <x:v>14200</x:v>
      </x:c>
      <x:c r="G109" s="30" t="n">
        <x:f>F109-E109</x:f>
        <x:v>1800</x:v>
      </x:c>
      <x:c r="H109" s="31" t="n">
        <x:f>IFERROR(G109/E109,0)</x:f>
        <x:v>0.14516129032258066</x:v>
      </x:c>
      <x:c r="I109" s="12" t="str"/>
    </x:row>
    <x:row r="110">
      <x:c r="A110" s="26" t="n">
        <x:v>46113</x:v>
      </x:c>
      <x:c r="B110" s="12" t="str">
        <x:v>Finance</x:v>
      </x:c>
      <x:c r="C110" s="12" t="str">
        <x:v>Product Revenue</x:v>
      </x:c>
      <x:c r="D110" s="12" t="str">
        <x:v>Revenue</x:v>
      </x:c>
      <x:c r="E110" s="27" t="n">
        <x:v>11200</x:v>
      </x:c>
      <x:c r="F110" s="27" t="n">
        <x:v>11900</x:v>
      </x:c>
      <x:c r="G110" s="30" t="n">
        <x:f>F110-E110</x:f>
        <x:v>700</x:v>
      </x:c>
      <x:c r="H110" s="31" t="n">
        <x:f>IFERROR(G110/E110,0)</x:f>
        <x:v>0.0625</x:v>
      </x:c>
      <x:c r="I110" s="12" t="str"/>
    </x:row>
    <x:row r="111">
      <x:c r="A111" s="26" t="n">
        <x:v>46113</x:v>
      </x:c>
      <x:c r="B111" s="12" t="str">
        <x:v>Finance</x:v>
      </x:c>
      <x:c r="C111" s="12" t="str">
        <x:v>Service Revenue</x:v>
      </x:c>
      <x:c r="D111" s="12" t="str">
        <x:v>Revenue</x:v>
      </x:c>
      <x:c r="E111" s="27" t="n">
        <x:v>3800</x:v>
      </x:c>
      <x:c r="F111" s="27" t="n">
        <x:v>3700</x:v>
      </x:c>
      <x:c r="G111" s="30" t="n">
        <x:f>F111-E111</x:f>
        <x:v>-100</x:v>
      </x:c>
      <x:c r="H111" s="31" t="n">
        <x:f>IFERROR(G111/E111,0)</x:f>
        <x:v>-0.02631578947368421</x:v>
      </x:c>
      <x:c r="I111" s="12" t="str"/>
    </x:row>
    <x:row r="112">
      <x:c r="A112" s="26" t="n">
        <x:v>46113</x:v>
      </x:c>
      <x:c r="B112" s="12" t="str">
        <x:v>Finance</x:v>
      </x:c>
      <x:c r="C112" s="12" t="str">
        <x:v>Payroll</x:v>
      </x:c>
      <x:c r="D112" s="12" t="str">
        <x:v>Operating Expense</x:v>
      </x:c>
      <x:c r="E112" s="27" t="n">
        <x:v>39400</x:v>
      </x:c>
      <x:c r="F112" s="27" t="n">
        <x:v>40800</x:v>
      </x:c>
      <x:c r="G112" s="30" t="n">
        <x:f>F112-E112</x:f>
        <x:v>1400</x:v>
      </x:c>
      <x:c r="H112" s="31" t="n">
        <x:f>IFERROR(G112/E112,0)</x:f>
        <x:v>0.03553299492385787</x:v>
      </x:c>
      <x:c r="I112" s="12" t="str"/>
    </x:row>
    <x:row r="113">
      <x:c r="A113" s="26" t="n">
        <x:v>46113</x:v>
      </x:c>
      <x:c r="B113" s="12" t="str">
        <x:v>Finance</x:v>
      </x:c>
      <x:c r="C113" s="12" t="str">
        <x:v>Marketing Spend</x:v>
      </x:c>
      <x:c r="D113" s="12" t="str">
        <x:v>Operating Expense</x:v>
      </x:c>
      <x:c r="E113" s="27" t="n">
        <x:v>1000</x:v>
      </x:c>
      <x:c r="F113" s="27" t="n">
        <x:v>1100</x:v>
      </x:c>
      <x:c r="G113" s="30" t="n">
        <x:f>F113-E113</x:f>
        <x:v>100</x:v>
      </x:c>
      <x:c r="H113" s="31" t="n">
        <x:f>IFERROR(G113/E113,0)</x:f>
        <x:v>0.1</x:v>
      </x:c>
      <x:c r="I113" s="12" t="str"/>
    </x:row>
    <x:row r="114">
      <x:c r="A114" s="26" t="n">
        <x:v>46113</x:v>
      </x:c>
      <x:c r="B114" s="12" t="str">
        <x:v>Finance</x:v>
      </x:c>
      <x:c r="C114" s="12" t="str">
        <x:v>Rent &amp; Utilities</x:v>
      </x:c>
      <x:c r="D114" s="12" t="str">
        <x:v>Operating Expense</x:v>
      </x:c>
      <x:c r="E114" s="27" t="n">
        <x:v>6800</x:v>
      </x:c>
      <x:c r="F114" s="27" t="n">
        <x:v>7100</x:v>
      </x:c>
      <x:c r="G114" s="30" t="n">
        <x:f>F114-E114</x:f>
        <x:v>300</x:v>
      </x:c>
      <x:c r="H114" s="31" t="n">
        <x:f>IFERROR(G114/E114,0)</x:f>
        <x:v>0.04411764705882353</x:v>
      </x:c>
      <x:c r="I114" s="12" t="str"/>
    </x:row>
    <x:row r="115">
      <x:c r="A115" s="26" t="n">
        <x:v>46113</x:v>
      </x:c>
      <x:c r="B115" s="12" t="str">
        <x:v>Finance</x:v>
      </x:c>
      <x:c r="C115" s="12" t="str">
        <x:v>Software &amp; IT</x:v>
      </x:c>
      <x:c r="D115" s="12" t="str">
        <x:v>Operating Expense</x:v>
      </x:c>
      <x:c r="E115" s="27" t="n">
        <x:v>11000</x:v>
      </x:c>
      <x:c r="F115" s="27" t="n">
        <x:v>12200</x:v>
      </x:c>
      <x:c r="G115" s="30" t="n">
        <x:f>F115-E115</x:f>
        <x:v>1200</x:v>
      </x:c>
      <x:c r="H115" s="31" t="n">
        <x:f>IFERROR(G115/E115,0)</x:f>
        <x:v>0.10909090909090909</x:v>
      </x:c>
      <x:c r="I115" s="12" t="str"/>
    </x:row>
    <x:row r="116">
      <x:c r="A116" s="26" t="n">
        <x:v>46113</x:v>
      </x:c>
      <x:c r="B116" s="12" t="str">
        <x:v>HR</x:v>
      </x:c>
      <x:c r="C116" s="12" t="str">
        <x:v>Product Revenue</x:v>
      </x:c>
      <x:c r="D116" s="12" t="str">
        <x:v>Revenue</x:v>
      </x:c>
      <x:c r="E116" s="27" t="n">
        <x:v>5400</x:v>
      </x:c>
      <x:c r="F116" s="27" t="n">
        <x:v>6000</x:v>
      </x:c>
      <x:c r="G116" s="30" t="n">
        <x:f>F116-E116</x:f>
        <x:v>600</x:v>
      </x:c>
      <x:c r="H116" s="31" t="n">
        <x:f>IFERROR(G116/E116,0)</x:f>
        <x:v>0.1111111111111111</x:v>
      </x:c>
      <x:c r="I116" s="12" t="str"/>
    </x:row>
    <x:row r="117">
      <x:c r="A117" s="26" t="n">
        <x:v>46113</x:v>
      </x:c>
      <x:c r="B117" s="12" t="str">
        <x:v>HR</x:v>
      </x:c>
      <x:c r="C117" s="12" t="str">
        <x:v>Service Revenue</x:v>
      </x:c>
      <x:c r="D117" s="12" t="str">
        <x:v>Revenue</x:v>
      </x:c>
      <x:c r="E117" s="27" t="n">
        <x:v>1900</x:v>
      </x:c>
      <x:c r="F117" s="27" t="n">
        <x:v>1800</x:v>
      </x:c>
      <x:c r="G117" s="30" t="n">
        <x:f>F117-E117</x:f>
        <x:v>-100</x:v>
      </x:c>
      <x:c r="H117" s="31" t="n">
        <x:f>IFERROR(G117/E117,0)</x:f>
        <x:v>-0.05263157894736842</x:v>
      </x:c>
      <x:c r="I117" s="12" t="str"/>
    </x:row>
    <x:row r="118">
      <x:c r="A118" s="26" t="n">
        <x:v>46113</x:v>
      </x:c>
      <x:c r="B118" s="12" t="str">
        <x:v>HR</x:v>
      </x:c>
      <x:c r="C118" s="12" t="str">
        <x:v>Payroll</x:v>
      </x:c>
      <x:c r="D118" s="12" t="str">
        <x:v>Operating Expense</x:v>
      </x:c>
      <x:c r="E118" s="27" t="n">
        <x:v>30200</x:v>
      </x:c>
      <x:c r="F118" s="27" t="n">
        <x:v>32100</x:v>
      </x:c>
      <x:c r="G118" s="30" t="n">
        <x:f>F118-E118</x:f>
        <x:v>1900</x:v>
      </x:c>
      <x:c r="H118" s="31" t="n">
        <x:f>IFERROR(G118/E118,0)</x:f>
        <x:v>0.06291390728476821</x:v>
      </x:c>
      <x:c r="I118" s="12" t="str"/>
    </x:row>
    <x:row r="119">
      <x:c r="A119" s="26" t="n">
        <x:v>46113</x:v>
      </x:c>
      <x:c r="B119" s="12" t="str">
        <x:v>HR</x:v>
      </x:c>
      <x:c r="C119" s="12" t="str">
        <x:v>Marketing Spend</x:v>
      </x:c>
      <x:c r="D119" s="12" t="str">
        <x:v>Operating Expense</x:v>
      </x:c>
      <x:c r="E119" s="27" t="n">
        <x:v>2000</x:v>
      </x:c>
      <x:c r="F119" s="27" t="n">
        <x:v>1800</x:v>
      </x:c>
      <x:c r="G119" s="30" t="n">
        <x:f>F119-E119</x:f>
        <x:v>-200</x:v>
      </x:c>
      <x:c r="H119" s="31" t="n">
        <x:f>IFERROR(G119/E119,0)</x:f>
        <x:v>-0.1</x:v>
      </x:c>
      <x:c r="I119" s="12" t="str"/>
    </x:row>
    <x:row r="120">
      <x:c r="A120" s="26" t="n">
        <x:v>46113</x:v>
      </x:c>
      <x:c r="B120" s="12" t="str">
        <x:v>HR</x:v>
      </x:c>
      <x:c r="C120" s="12" t="str">
        <x:v>Rent &amp; Utilities</x:v>
      </x:c>
      <x:c r="D120" s="12" t="str">
        <x:v>Operating Expense</x:v>
      </x:c>
      <x:c r="E120" s="27" t="n">
        <x:v>5200</x:v>
      </x:c>
      <x:c r="F120" s="27" t="n">
        <x:v>4900</x:v>
      </x:c>
      <x:c r="G120" s="30" t="n">
        <x:f>F120-E120</x:f>
        <x:v>-300</x:v>
      </x:c>
      <x:c r="H120" s="31" t="n">
        <x:f>IFERROR(G120/E120,0)</x:f>
        <x:v>-0.057692307692307696</x:v>
      </x:c>
      <x:c r="I120" s="12" t="str"/>
    </x:row>
    <x:row r="121">
      <x:c r="A121" s="26" t="n">
        <x:v>46113</x:v>
      </x:c>
      <x:c r="B121" s="12" t="str">
        <x:v>HR</x:v>
      </x:c>
      <x:c r="C121" s="12" t="str">
        <x:v>Software &amp; IT</x:v>
      </x:c>
      <x:c r="D121" s="12" t="str">
        <x:v>Operating Expense</x:v>
      </x:c>
      <x:c r="E121" s="27" t="n">
        <x:v>5000</x:v>
      </x:c>
      <x:c r="F121" s="27" t="n">
        <x:v>5200</x:v>
      </x:c>
      <x:c r="G121" s="30" t="n">
        <x:f>F121-E121</x:f>
        <x:v>200</x:v>
      </x:c>
      <x:c r="H121" s="31" t="n">
        <x:f>IFERROR(G121/E121,0)</x:f>
        <x:v>0.04</x:v>
      </x:c>
      <x:c r="I121" s="12" t="str"/>
    </x:row>
    <x:row r="122">
      <x:c r="A122" s="26" t="n">
        <x:v>46143</x:v>
      </x:c>
      <x:c r="B122" s="12" t="str">
        <x:v>Sales</x:v>
      </x:c>
      <x:c r="C122" s="12" t="str">
        <x:v>Product Revenue</x:v>
      </x:c>
      <x:c r="D122" s="12" t="str">
        <x:v>Revenue</x:v>
      </x:c>
      <x:c r="E122" s="27" t="n">
        <x:v>197400</x:v>
      </x:c>
      <x:c r="F122" s="27" t="n">
        <x:v>203000</x:v>
      </x:c>
      <x:c r="G122" s="30" t="n">
        <x:f>F122-E122</x:f>
        <x:v>5600</x:v>
      </x:c>
      <x:c r="H122" s="31" t="n">
        <x:f>IFERROR(G122/E122,0)</x:f>
        <x:v>0.028368794326241134</x:v>
      </x:c>
      <x:c r="I122" s="12" t="str"/>
    </x:row>
    <x:row r="123">
      <x:c r="A123" s="26" t="n">
        <x:v>46143</x:v>
      </x:c>
      <x:c r="B123" s="12" t="str">
        <x:v>Sales</x:v>
      </x:c>
      <x:c r="C123" s="12" t="str">
        <x:v>Service Revenue</x:v>
      </x:c>
      <x:c r="D123" s="12" t="str">
        <x:v>Revenue</x:v>
      </x:c>
      <x:c r="E123" s="27" t="n">
        <x:v>69700</x:v>
      </x:c>
      <x:c r="F123" s="27" t="n">
        <x:v>77100</x:v>
      </x:c>
      <x:c r="G123" s="30" t="n">
        <x:f>F123-E123</x:f>
        <x:v>7400</x:v>
      </x:c>
      <x:c r="H123" s="31" t="n">
        <x:f>IFERROR(G123/E123,0)</x:f>
        <x:v>0.10616929698708752</x:v>
      </x:c>
      <x:c r="I123" s="12" t="str"/>
    </x:row>
    <x:row r="124">
      <x:c r="A124" s="26" t="n">
        <x:v>46143</x:v>
      </x:c>
      <x:c r="B124" s="12" t="str">
        <x:v>Sales</x:v>
      </x:c>
      <x:c r="C124" s="12" t="str">
        <x:v>Payroll</x:v>
      </x:c>
      <x:c r="D124" s="12" t="str">
        <x:v>Operating Expense</x:v>
      </x:c>
      <x:c r="E124" s="27" t="n">
        <x:v>50800</x:v>
      </x:c>
      <x:c r="F124" s="27" t="n">
        <x:v>54500</x:v>
      </x:c>
      <x:c r="G124" s="30" t="n">
        <x:f>F124-E124</x:f>
        <x:v>3700</x:v>
      </x:c>
      <x:c r="H124" s="31" t="n">
        <x:f>IFERROR(G124/E124,0)</x:f>
        <x:v>0.07283464566929133</x:v>
      </x:c>
      <x:c r="I124" s="12" t="str"/>
    </x:row>
    <x:row r="125">
      <x:c r="A125" s="26" t="n">
        <x:v>46143</x:v>
      </x:c>
      <x:c r="B125" s="12" t="str">
        <x:v>Sales</x:v>
      </x:c>
      <x:c r="C125" s="12" t="str">
        <x:v>Marketing Spend</x:v>
      </x:c>
      <x:c r="D125" s="12" t="str">
        <x:v>Operating Expense</x:v>
      </x:c>
      <x:c r="E125" s="27" t="n">
        <x:v>9800</x:v>
      </x:c>
      <x:c r="F125" s="27" t="n">
        <x:v>9700</x:v>
      </x:c>
      <x:c r="G125" s="30" t="n">
        <x:f>F125-E125</x:f>
        <x:v>-100</x:v>
      </x:c>
      <x:c r="H125" s="31" t="n">
        <x:f>IFERROR(G125/E125,0)</x:f>
        <x:v>-0.01020408163265306</x:v>
      </x:c>
      <x:c r="I125" s="12" t="str"/>
    </x:row>
    <x:row r="126">
      <x:c r="A126" s="26" t="n">
        <x:v>46143</x:v>
      </x:c>
      <x:c r="B126" s="12" t="str">
        <x:v>Sales</x:v>
      </x:c>
      <x:c r="C126" s="12" t="str">
        <x:v>Rent &amp; Utilities</x:v>
      </x:c>
      <x:c r="D126" s="12" t="str">
        <x:v>Operating Expense</x:v>
      </x:c>
      <x:c r="E126" s="27" t="n">
        <x:v>8100</x:v>
      </x:c>
      <x:c r="F126" s="27" t="n">
        <x:v>7800</x:v>
      </x:c>
      <x:c r="G126" s="30" t="n">
        <x:f>F126-E126</x:f>
        <x:v>-300</x:v>
      </x:c>
      <x:c r="H126" s="31" t="n">
        <x:f>IFERROR(G126/E126,0)</x:f>
        <x:v>-0.037037037037037035</x:v>
      </x:c>
      <x:c r="I126" s="12" t="str"/>
    </x:row>
    <x:row r="127">
      <x:c r="A127" s="26" t="n">
        <x:v>46143</x:v>
      </x:c>
      <x:c r="B127" s="12" t="str">
        <x:v>Sales</x:v>
      </x:c>
      <x:c r="C127" s="12" t="str">
        <x:v>Software &amp; IT</x:v>
      </x:c>
      <x:c r="D127" s="12" t="str">
        <x:v>Operating Expense</x:v>
      </x:c>
      <x:c r="E127" s="27" t="n">
        <x:v>6900</x:v>
      </x:c>
      <x:c r="F127" s="27" t="n">
        <x:v>7500</x:v>
      </x:c>
      <x:c r="G127" s="30" t="n">
        <x:f>F127-E127</x:f>
        <x:v>600</x:v>
      </x:c>
      <x:c r="H127" s="31" t="n">
        <x:f>IFERROR(G127/E127,0)</x:f>
        <x:v>0.08695652173913043</x:v>
      </x:c>
      <x:c r="I127" s="12" t="str"/>
    </x:row>
    <x:row r="128">
      <x:c r="A128" s="26" t="n">
        <x:v>46143</x:v>
      </x:c>
      <x:c r="B128" s="12" t="str">
        <x:v>Marketing</x:v>
      </x:c>
      <x:c r="C128" s="12" t="str">
        <x:v>Product Revenue</x:v>
      </x:c>
      <x:c r="D128" s="12" t="str">
        <x:v>Revenue</x:v>
      </x:c>
      <x:c r="E128" s="27" t="n">
        <x:v>32000</x:v>
      </x:c>
      <x:c r="F128" s="27" t="n">
        <x:v>32000</x:v>
      </x:c>
      <x:c r="G128" s="30" t="n">
        <x:f>F128-E128</x:f>
        <x:v>0</x:v>
      </x:c>
      <x:c r="H128" s="31" t="n">
        <x:f>IFERROR(G128/E128,0)</x:f>
        <x:v>0</x:v>
      </x:c>
      <x:c r="I128" s="12" t="str"/>
    </x:row>
    <x:row r="129">
      <x:c r="A129" s="26" t="n">
        <x:v>46143</x:v>
      </x:c>
      <x:c r="B129" s="12" t="str">
        <x:v>Marketing</x:v>
      </x:c>
      <x:c r="C129" s="12" t="str">
        <x:v>Service Revenue</x:v>
      </x:c>
      <x:c r="D129" s="12" t="str">
        <x:v>Revenue</x:v>
      </x:c>
      <x:c r="E129" s="27" t="n">
        <x:v>12100</x:v>
      </x:c>
      <x:c r="F129" s="27" t="n">
        <x:v>13500</x:v>
      </x:c>
      <x:c r="G129" s="30" t="n">
        <x:f>F129-E129</x:f>
        <x:v>1400</x:v>
      </x:c>
      <x:c r="H129" s="31" t="n">
        <x:f>IFERROR(G129/E129,0)</x:f>
        <x:v>0.11570247933884298</x:v>
      </x:c>
      <x:c r="I129" s="12" t="str"/>
    </x:row>
    <x:row r="130">
      <x:c r="A130" s="26" t="n">
        <x:v>46143</x:v>
      </x:c>
      <x:c r="B130" s="12" t="str">
        <x:v>Marketing</x:v>
      </x:c>
      <x:c r="C130" s="12" t="str">
        <x:v>Payroll</x:v>
      </x:c>
      <x:c r="D130" s="12" t="str">
        <x:v>Operating Expense</x:v>
      </x:c>
      <x:c r="E130" s="27" t="n">
        <x:v>32800</x:v>
      </x:c>
      <x:c r="F130" s="27" t="n">
        <x:v>30800</x:v>
      </x:c>
      <x:c r="G130" s="30" t="n">
        <x:f>F130-E130</x:f>
        <x:v>-2000</x:v>
      </x:c>
      <x:c r="H130" s="31" t="n">
        <x:f>IFERROR(G130/E130,0)</x:f>
        <x:v>-0.06097560975609756</x:v>
      </x:c>
      <x:c r="I130" s="12" t="str"/>
    </x:row>
    <x:row r="131">
      <x:c r="A131" s="26" t="n">
        <x:v>46143</x:v>
      </x:c>
      <x:c r="B131" s="12" t="str">
        <x:v>Marketing</x:v>
      </x:c>
      <x:c r="C131" s="12" t="str">
        <x:v>Marketing Spend</x:v>
      </x:c>
      <x:c r="D131" s="12" t="str">
        <x:v>Operating Expense</x:v>
      </x:c>
      <x:c r="E131" s="27" t="n">
        <x:v>44200</x:v>
      </x:c>
      <x:c r="F131" s="27" t="n">
        <x:v>50000</x:v>
      </x:c>
      <x:c r="G131" s="30" t="n">
        <x:f>F131-E131</x:f>
        <x:v>5800</x:v>
      </x:c>
      <x:c r="H131" s="31" t="n">
        <x:f>IFERROR(G131/E131,0)</x:f>
        <x:v>0.13122171945701358</x:v>
      </x:c>
      <x:c r="I131" s="12" t="str"/>
    </x:row>
    <x:row r="132">
      <x:c r="A132" s="26" t="n">
        <x:v>46143</x:v>
      </x:c>
      <x:c r="B132" s="12" t="str">
        <x:v>Marketing</x:v>
      </x:c>
      <x:c r="C132" s="12" t="str">
        <x:v>Rent &amp; Utilities</x:v>
      </x:c>
      <x:c r="D132" s="12" t="str">
        <x:v>Operating Expense</x:v>
      </x:c>
      <x:c r="E132" s="27" t="n">
        <x:v>6200</x:v>
      </x:c>
      <x:c r="F132" s="27" t="n">
        <x:v>6900</x:v>
      </x:c>
      <x:c r="G132" s="30" t="n">
        <x:f>F132-E132</x:f>
        <x:v>700</x:v>
      </x:c>
      <x:c r="H132" s="31" t="n">
        <x:f>IFERROR(G132/E132,0)</x:f>
        <x:v>0.11290322580645161</x:v>
      </x:c>
      <x:c r="I132" s="12" t="str"/>
    </x:row>
    <x:row r="133">
      <x:c r="A133" s="26" t="n">
        <x:v>46143</x:v>
      </x:c>
      <x:c r="B133" s="12" t="str">
        <x:v>Marketing</x:v>
      </x:c>
      <x:c r="C133" s="12" t="str">
        <x:v>Software &amp; IT</x:v>
      </x:c>
      <x:c r="D133" s="12" t="str">
        <x:v>Operating Expense</x:v>
      </x:c>
      <x:c r="E133" s="27" t="n">
        <x:v>8900</x:v>
      </x:c>
      <x:c r="F133" s="27" t="n">
        <x:v>8200</x:v>
      </x:c>
      <x:c r="G133" s="30" t="n">
        <x:f>F133-E133</x:f>
        <x:v>-700</x:v>
      </x:c>
      <x:c r="H133" s="31" t="n">
        <x:f>IFERROR(G133/E133,0)</x:f>
        <x:v>-0.07865168539325842</x:v>
      </x:c>
      <x:c r="I133" s="12" t="str"/>
    </x:row>
    <x:row r="134">
      <x:c r="A134" s="26" t="n">
        <x:v>46143</x:v>
      </x:c>
      <x:c r="B134" s="12" t="str">
        <x:v>Operations</x:v>
      </x:c>
      <x:c r="C134" s="12" t="str">
        <x:v>Product Revenue</x:v>
      </x:c>
      <x:c r="D134" s="12" t="str">
        <x:v>Revenue</x:v>
      </x:c>
      <x:c r="E134" s="27" t="n">
        <x:v>22700</x:v>
      </x:c>
      <x:c r="F134" s="27" t="n">
        <x:v>23900</x:v>
      </x:c>
      <x:c r="G134" s="30" t="n">
        <x:f>F134-E134</x:f>
        <x:v>1200</x:v>
      </x:c>
      <x:c r="H134" s="31" t="n">
        <x:f>IFERROR(G134/E134,0)</x:f>
        <x:v>0.05286343612334802</x:v>
      </x:c>
      <x:c r="I134" s="12" t="str"/>
    </x:row>
    <x:row r="135">
      <x:c r="A135" s="26" t="n">
        <x:v>46143</x:v>
      </x:c>
      <x:c r="B135" s="12" t="str">
        <x:v>Operations</x:v>
      </x:c>
      <x:c r="C135" s="12" t="str">
        <x:v>Service Revenue</x:v>
      </x:c>
      <x:c r="D135" s="12" t="str">
        <x:v>Revenue</x:v>
      </x:c>
      <x:c r="E135" s="27" t="n">
        <x:v>7800</x:v>
      </x:c>
      <x:c r="F135" s="27" t="n">
        <x:v>8700</x:v>
      </x:c>
      <x:c r="G135" s="30" t="n">
        <x:f>F135-E135</x:f>
        <x:v>900</x:v>
      </x:c>
      <x:c r="H135" s="31" t="n">
        <x:f>IFERROR(G135/E135,0)</x:f>
        <x:v>0.11538461538461539</x:v>
      </x:c>
      <x:c r="I135" s="12" t="str"/>
    </x:row>
    <x:row r="136">
      <x:c r="A136" s="26" t="n">
        <x:v>46143</x:v>
      </x:c>
      <x:c r="B136" s="12" t="str">
        <x:v>Operations</x:v>
      </x:c>
      <x:c r="C136" s="12" t="str">
        <x:v>Payroll</x:v>
      </x:c>
      <x:c r="D136" s="12" t="str">
        <x:v>Operating Expense</x:v>
      </x:c>
      <x:c r="E136" s="27" t="n">
        <x:v>60700</x:v>
      </x:c>
      <x:c r="F136" s="27" t="n">
        <x:v>53500</x:v>
      </x:c>
      <x:c r="G136" s="30" t="n">
        <x:f>F136-E136</x:f>
        <x:v>-7200</x:v>
      </x:c>
      <x:c r="H136" s="31" t="n">
        <x:f>IFERROR(G136/E136,0)</x:f>
        <x:v>-0.1186161449752883</x:v>
      </x:c>
      <x:c r="I136" s="12" t="str"/>
    </x:row>
    <x:row r="137">
      <x:c r="A137" s="26" t="n">
        <x:v>46143</x:v>
      </x:c>
      <x:c r="B137" s="12" t="str">
        <x:v>Operations</x:v>
      </x:c>
      <x:c r="C137" s="12" t="str">
        <x:v>Marketing Spend</x:v>
      </x:c>
      <x:c r="D137" s="12" t="str">
        <x:v>Operating Expense</x:v>
      </x:c>
      <x:c r="E137" s="27" t="n">
        <x:v>3100</x:v>
      </x:c>
      <x:c r="F137" s="27" t="n">
        <x:v>3000</x:v>
      </x:c>
      <x:c r="G137" s="30" t="n">
        <x:f>F137-E137</x:f>
        <x:v>-100</x:v>
      </x:c>
      <x:c r="H137" s="31" t="n">
        <x:f>IFERROR(G137/E137,0)</x:f>
        <x:v>-0.03225806451612903</x:v>
      </x:c>
      <x:c r="I137" s="12" t="str"/>
    </x:row>
    <x:row r="138">
      <x:c r="A138" s="26" t="n">
        <x:v>46143</x:v>
      </x:c>
      <x:c r="B138" s="12" t="str">
        <x:v>Operations</x:v>
      </x:c>
      <x:c r="C138" s="12" t="str">
        <x:v>Rent &amp; Utilities</x:v>
      </x:c>
      <x:c r="D138" s="12" t="str">
        <x:v>Operating Expense</x:v>
      </x:c>
      <x:c r="E138" s="27" t="n">
        <x:v>18200</x:v>
      </x:c>
      <x:c r="F138" s="27" t="n">
        <x:v>20600</x:v>
      </x:c>
      <x:c r="G138" s="30" t="n">
        <x:f>F138-E138</x:f>
        <x:v>2400</x:v>
      </x:c>
      <x:c r="H138" s="31" t="n">
        <x:f>IFERROR(G138/E138,0)</x:f>
        <x:v>0.13186813186813187</x:v>
      </x:c>
      <x:c r="I138" s="12" t="str"/>
    </x:row>
    <x:row r="139">
      <x:c r="A139" s="26" t="n">
        <x:v>46143</x:v>
      </x:c>
      <x:c r="B139" s="12" t="str">
        <x:v>Operations</x:v>
      </x:c>
      <x:c r="C139" s="12" t="str">
        <x:v>Software &amp; IT</x:v>
      </x:c>
      <x:c r="D139" s="12" t="str">
        <x:v>Operating Expense</x:v>
      </x:c>
      <x:c r="E139" s="27" t="n">
        <x:v>11600</x:v>
      </x:c>
      <x:c r="F139" s="27" t="n">
        <x:v>10600</x:v>
      </x:c>
      <x:c r="G139" s="30" t="n">
        <x:f>F139-E139</x:f>
        <x:v>-1000</x:v>
      </x:c>
      <x:c r="H139" s="31" t="n">
        <x:f>IFERROR(G139/E139,0)</x:f>
        <x:v>-0.08620689655172414</x:v>
      </x:c>
      <x:c r="I139" s="12" t="str"/>
    </x:row>
    <x:row r="140">
      <x:c r="A140" s="26" t="n">
        <x:v>46143</x:v>
      </x:c>
      <x:c r="B140" s="12" t="str">
        <x:v>Finance</x:v>
      </x:c>
      <x:c r="C140" s="12" t="str">
        <x:v>Product Revenue</x:v>
      </x:c>
      <x:c r="D140" s="12" t="str">
        <x:v>Revenue</x:v>
      </x:c>
      <x:c r="E140" s="27" t="n">
        <x:v>10700</x:v>
      </x:c>
      <x:c r="F140" s="27" t="n">
        <x:v>10900</x:v>
      </x:c>
      <x:c r="G140" s="30" t="n">
        <x:f>F140-E140</x:f>
        <x:v>200</x:v>
      </x:c>
      <x:c r="H140" s="31" t="n">
        <x:f>IFERROR(G140/E140,0)</x:f>
        <x:v>0.018691588785046728</x:v>
      </x:c>
      <x:c r="I140" s="12" t="str"/>
    </x:row>
    <x:row r="141">
      <x:c r="A141" s="26" t="n">
        <x:v>46143</x:v>
      </x:c>
      <x:c r="B141" s="12" t="str">
        <x:v>Finance</x:v>
      </x:c>
      <x:c r="C141" s="12" t="str">
        <x:v>Service Revenue</x:v>
      </x:c>
      <x:c r="D141" s="12" t="str">
        <x:v>Revenue</x:v>
      </x:c>
      <x:c r="E141" s="27" t="n">
        <x:v>3800</x:v>
      </x:c>
      <x:c r="F141" s="27" t="n">
        <x:v>3900</x:v>
      </x:c>
      <x:c r="G141" s="30" t="n">
        <x:f>F141-E141</x:f>
        <x:v>100</x:v>
      </x:c>
      <x:c r="H141" s="31" t="n">
        <x:f>IFERROR(G141/E141,0)</x:f>
        <x:v>0.02631578947368421</x:v>
      </x:c>
      <x:c r="I141" s="12" t="str"/>
    </x:row>
    <x:row r="142">
      <x:c r="A142" s="26" t="n">
        <x:v>46143</x:v>
      </x:c>
      <x:c r="B142" s="12" t="str">
        <x:v>Finance</x:v>
      </x:c>
      <x:c r="C142" s="12" t="str">
        <x:v>Payroll</x:v>
      </x:c>
      <x:c r="D142" s="12" t="str">
        <x:v>Operating Expense</x:v>
      </x:c>
      <x:c r="E142" s="27" t="n">
        <x:v>38700</x:v>
      </x:c>
      <x:c r="F142" s="27" t="n">
        <x:v>36200</x:v>
      </x:c>
      <x:c r="G142" s="30" t="n">
        <x:f>F142-E142</x:f>
        <x:v>-2500</x:v>
      </x:c>
      <x:c r="H142" s="31" t="n">
        <x:f>IFERROR(G142/E142,0)</x:f>
        <x:v>-0.06459948320413436</x:v>
      </x:c>
      <x:c r="I142" s="12" t="str"/>
    </x:row>
    <x:row r="143">
      <x:c r="A143" s="26" t="n">
        <x:v>46143</x:v>
      </x:c>
      <x:c r="B143" s="12" t="str">
        <x:v>Finance</x:v>
      </x:c>
      <x:c r="C143" s="12" t="str">
        <x:v>Marketing Spend</x:v>
      </x:c>
      <x:c r="D143" s="12" t="str">
        <x:v>Operating Expense</x:v>
      </x:c>
      <x:c r="E143" s="27" t="n">
        <x:v>1000</x:v>
      </x:c>
      <x:c r="F143" s="27" t="n">
        <x:v>1000</x:v>
      </x:c>
      <x:c r="G143" s="30" t="n">
        <x:f>F143-E143</x:f>
        <x:v>0</x:v>
      </x:c>
      <x:c r="H143" s="31" t="n">
        <x:f>IFERROR(G143/E143,0)</x:f>
        <x:v>0</x:v>
      </x:c>
      <x:c r="I143" s="12" t="str"/>
    </x:row>
    <x:row r="144">
      <x:c r="A144" s="26" t="n">
        <x:v>46143</x:v>
      </x:c>
      <x:c r="B144" s="12" t="str">
        <x:v>Finance</x:v>
      </x:c>
      <x:c r="C144" s="12" t="str">
        <x:v>Rent &amp; Utilities</x:v>
      </x:c>
      <x:c r="D144" s="12" t="str">
        <x:v>Operating Expense</x:v>
      </x:c>
      <x:c r="E144" s="27" t="n">
        <x:v>7000</x:v>
      </x:c>
      <x:c r="F144" s="27" t="n">
        <x:v>7900</x:v>
      </x:c>
      <x:c r="G144" s="30" t="n">
        <x:f>F144-E144</x:f>
        <x:v>900</x:v>
      </x:c>
      <x:c r="H144" s="31" t="n">
        <x:f>IFERROR(G144/E144,0)</x:f>
        <x:v>0.12857142857142856</x:v>
      </x:c>
      <x:c r="I144" s="12" t="str"/>
    </x:row>
    <x:row r="145">
      <x:c r="A145" s="26" t="n">
        <x:v>46143</x:v>
      </x:c>
      <x:c r="B145" s="12" t="str">
        <x:v>Finance</x:v>
      </x:c>
      <x:c r="C145" s="12" t="str">
        <x:v>Software &amp; IT</x:v>
      </x:c>
      <x:c r="D145" s="12" t="str">
        <x:v>Operating Expense</x:v>
      </x:c>
      <x:c r="E145" s="27" t="n">
        <x:v>11300</x:v>
      </x:c>
      <x:c r="F145" s="27" t="n">
        <x:v>10200</x:v>
      </x:c>
      <x:c r="G145" s="30" t="n">
        <x:f>F145-E145</x:f>
        <x:v>-1100</x:v>
      </x:c>
      <x:c r="H145" s="31" t="n">
        <x:f>IFERROR(G145/E145,0)</x:f>
        <x:v>-0.09734513274336283</x:v>
      </x:c>
      <x:c r="I145" s="12" t="str"/>
    </x:row>
    <x:row r="146">
      <x:c r="A146" s="26" t="n">
        <x:v>46143</x:v>
      </x:c>
      <x:c r="B146" s="12" t="str">
        <x:v>HR</x:v>
      </x:c>
      <x:c r="C146" s="12" t="str">
        <x:v>Product Revenue</x:v>
      </x:c>
      <x:c r="D146" s="12" t="str">
        <x:v>Revenue</x:v>
      </x:c>
      <x:c r="E146" s="27" t="n">
        <x:v>5500</x:v>
      </x:c>
      <x:c r="F146" s="27" t="n">
        <x:v>5300</x:v>
      </x:c>
      <x:c r="G146" s="30" t="n">
        <x:f>F146-E146</x:f>
        <x:v>-200</x:v>
      </x:c>
      <x:c r="H146" s="31" t="n">
        <x:f>IFERROR(G146/E146,0)</x:f>
        <x:v>-0.03636363636363636</x:v>
      </x:c>
      <x:c r="I146" s="12" t="str"/>
    </x:row>
    <x:row r="147">
      <x:c r="A147" s="26" t="n">
        <x:v>46143</x:v>
      </x:c>
      <x:c r="B147" s="12" t="str">
        <x:v>HR</x:v>
      </x:c>
      <x:c r="C147" s="12" t="str">
        <x:v>Service Revenue</x:v>
      </x:c>
      <x:c r="D147" s="12" t="str">
        <x:v>Revenue</x:v>
      </x:c>
      <x:c r="E147" s="27" t="n">
        <x:v>1900</x:v>
      </x:c>
      <x:c r="F147" s="27" t="n">
        <x:v>2000</x:v>
      </x:c>
      <x:c r="G147" s="30" t="n">
        <x:f>F147-E147</x:f>
        <x:v>100</x:v>
      </x:c>
      <x:c r="H147" s="31" t="n">
        <x:f>IFERROR(G147/E147,0)</x:f>
        <x:v>0.05263157894736842</x:v>
      </x:c>
      <x:c r="I147" s="12" t="str"/>
    </x:row>
    <x:row r="148">
      <x:c r="A148" s="26" t="n">
        <x:v>46143</x:v>
      </x:c>
      <x:c r="B148" s="12" t="str">
        <x:v>HR</x:v>
      </x:c>
      <x:c r="C148" s="12" t="str">
        <x:v>Payroll</x:v>
      </x:c>
      <x:c r="D148" s="12" t="str">
        <x:v>Operating Expense</x:v>
      </x:c>
      <x:c r="E148" s="27" t="n">
        <x:v>30300</x:v>
      </x:c>
      <x:c r="F148" s="27" t="n">
        <x:v>28800</x:v>
      </x:c>
      <x:c r="G148" s="30" t="n">
        <x:f>F148-E148</x:f>
        <x:v>-1500</x:v>
      </x:c>
      <x:c r="H148" s="31" t="n">
        <x:f>IFERROR(G148/E148,0)</x:f>
        <x:v>-0.04950495049504951</x:v>
      </x:c>
      <x:c r="I148" s="12" t="str"/>
    </x:row>
    <x:row r="149">
      <x:c r="A149" s="26" t="n">
        <x:v>46143</x:v>
      </x:c>
      <x:c r="B149" s="12" t="str">
        <x:v>HR</x:v>
      </x:c>
      <x:c r="C149" s="12" t="str">
        <x:v>Marketing Spend</x:v>
      </x:c>
      <x:c r="D149" s="12" t="str">
        <x:v>Operating Expense</x:v>
      </x:c>
      <x:c r="E149" s="27" t="n">
        <x:v>2000</x:v>
      </x:c>
      <x:c r="F149" s="27" t="n">
        <x:v>2100</x:v>
      </x:c>
      <x:c r="G149" s="30" t="n">
        <x:f>F149-E149</x:f>
        <x:v>100</x:v>
      </x:c>
      <x:c r="H149" s="31" t="n">
        <x:f>IFERROR(G149/E149,0)</x:f>
        <x:v>0.05</x:v>
      </x:c>
      <x:c r="I149" s="12" t="str"/>
    </x:row>
    <x:row r="150">
      <x:c r="A150" s="26" t="n">
        <x:v>46143</x:v>
      </x:c>
      <x:c r="B150" s="12" t="str">
        <x:v>HR</x:v>
      </x:c>
      <x:c r="C150" s="12" t="str">
        <x:v>Rent &amp; Utilities</x:v>
      </x:c>
      <x:c r="D150" s="12" t="str">
        <x:v>Operating Expense</x:v>
      </x:c>
      <x:c r="E150" s="27" t="n">
        <x:v>5000</x:v>
      </x:c>
      <x:c r="F150" s="27" t="n">
        <x:v>4400</x:v>
      </x:c>
      <x:c r="G150" s="30" t="n">
        <x:f>F150-E150</x:f>
        <x:v>-600</x:v>
      </x:c>
      <x:c r="H150" s="31" t="n">
        <x:f>IFERROR(G150/E150,0)</x:f>
        <x:v>-0.12</x:v>
      </x:c>
      <x:c r="I150" s="12" t="str"/>
    </x:row>
    <x:row r="151">
      <x:c r="A151" s="26" t="n">
        <x:v>46143</x:v>
      </x:c>
      <x:c r="B151" s="12" t="str">
        <x:v>HR</x:v>
      </x:c>
      <x:c r="C151" s="12" t="str">
        <x:v>Software &amp; IT</x:v>
      </x:c>
      <x:c r="D151" s="12" t="str">
        <x:v>Operating Expense</x:v>
      </x:c>
      <x:c r="E151" s="27" t="n">
        <x:v>4800</x:v>
      </x:c>
      <x:c r="F151" s="27" t="n">
        <x:v>5400</x:v>
      </x:c>
      <x:c r="G151" s="30" t="n">
        <x:f>F151-E151</x:f>
        <x:v>600</x:v>
      </x:c>
      <x:c r="H151" s="31" t="n">
        <x:f>IFERROR(G151/E151,0)</x:f>
        <x:v>0.125</x:v>
      </x:c>
      <x:c r="I151" s="12" t="str"/>
    </x:row>
    <x:row r="152">
      <x:c r="A152" s="26" t="n">
        <x:v>46174</x:v>
      </x:c>
      <x:c r="B152" s="12" t="str">
        <x:v>Sales</x:v>
      </x:c>
      <x:c r="C152" s="12" t="str">
        <x:v>Product Revenue</x:v>
      </x:c>
      <x:c r="D152" s="12" t="str">
        <x:v>Revenue</x:v>
      </x:c>
      <x:c r="E152" s="27" t="n">
        <x:v>197000</x:v>
      </x:c>
      <x:c r="F152" s="27" t="n">
        <x:v>200900</x:v>
      </x:c>
      <x:c r="G152" s="30" t="n">
        <x:f>F152-E152</x:f>
        <x:v>3900</x:v>
      </x:c>
      <x:c r="H152" s="31" t="n">
        <x:f>IFERROR(G152/E152,0)</x:f>
        <x:v>0.01979695431472081</x:v>
      </x:c>
      <x:c r="I152" s="12" t="str"/>
    </x:row>
    <x:row r="153">
      <x:c r="A153" s="26" t="n">
        <x:v>46174</x:v>
      </x:c>
      <x:c r="B153" s="12" t="str">
        <x:v>Sales</x:v>
      </x:c>
      <x:c r="C153" s="12" t="str">
        <x:v>Service Revenue</x:v>
      </x:c>
      <x:c r="D153" s="12" t="str">
        <x:v>Revenue</x:v>
      </x:c>
      <x:c r="E153" s="27" t="n">
        <x:v>68600</x:v>
      </x:c>
      <x:c r="F153" s="27" t="n">
        <x:v>70500</x:v>
      </x:c>
      <x:c r="G153" s="30" t="n">
        <x:f>F153-E153</x:f>
        <x:v>1900</x:v>
      </x:c>
      <x:c r="H153" s="31" t="n">
        <x:f>IFERROR(G153/E153,0)</x:f>
        <x:v>0.027696793002915453</x:v>
      </x:c>
      <x:c r="I153" s="12" t="str"/>
    </x:row>
    <x:row r="154">
      <x:c r="A154" s="26" t="n">
        <x:v>46174</x:v>
      </x:c>
      <x:c r="B154" s="12" t="str">
        <x:v>Sales</x:v>
      </x:c>
      <x:c r="C154" s="12" t="str">
        <x:v>Payroll</x:v>
      </x:c>
      <x:c r="D154" s="12" t="str">
        <x:v>Operating Expense</x:v>
      </x:c>
      <x:c r="E154" s="27" t="n">
        <x:v>50500</x:v>
      </x:c>
      <x:c r="F154" s="27" t="n">
        <x:v>46200</x:v>
      </x:c>
      <x:c r="G154" s="30" t="n">
        <x:f>F154-E154</x:f>
        <x:v>-4300</x:v>
      </x:c>
      <x:c r="H154" s="31" t="n">
        <x:f>IFERROR(G154/E154,0)</x:f>
        <x:v>-0.08514851485148515</x:v>
      </x:c>
      <x:c r="I154" s="12" t="str"/>
    </x:row>
    <x:row r="155">
      <x:c r="A155" s="26" t="n">
        <x:v>46174</x:v>
      </x:c>
      <x:c r="B155" s="12" t="str">
        <x:v>Sales</x:v>
      </x:c>
      <x:c r="C155" s="12" t="str">
        <x:v>Marketing Spend</x:v>
      </x:c>
      <x:c r="D155" s="12" t="str">
        <x:v>Operating Expense</x:v>
      </x:c>
      <x:c r="E155" s="27" t="n">
        <x:v>9800</x:v>
      </x:c>
      <x:c r="F155" s="27" t="n">
        <x:v>11000</x:v>
      </x:c>
      <x:c r="G155" s="30" t="n">
        <x:f>F155-E155</x:f>
        <x:v>1200</x:v>
      </x:c>
      <x:c r="H155" s="31" t="n">
        <x:f>IFERROR(G155/E155,0)</x:f>
        <x:v>0.12244897959183673</x:v>
      </x:c>
      <x:c r="I155" s="12" t="str"/>
    </x:row>
    <x:row r="156">
      <x:c r="A156" s="26" t="n">
        <x:v>46174</x:v>
      </x:c>
      <x:c r="B156" s="12" t="str">
        <x:v>Sales</x:v>
      </x:c>
      <x:c r="C156" s="12" t="str">
        <x:v>Rent &amp; Utilities</x:v>
      </x:c>
      <x:c r="D156" s="12" t="str">
        <x:v>Operating Expense</x:v>
      </x:c>
      <x:c r="E156" s="27" t="n">
        <x:v>8200</x:v>
      </x:c>
      <x:c r="F156" s="27" t="n">
        <x:v>9100</x:v>
      </x:c>
      <x:c r="G156" s="30" t="n">
        <x:f>F156-E156</x:f>
        <x:v>900</x:v>
      </x:c>
      <x:c r="H156" s="31" t="n">
        <x:f>IFERROR(G156/E156,0)</x:f>
        <x:v>0.10975609756097561</x:v>
      </x:c>
      <x:c r="I156" s="12" t="str"/>
    </x:row>
    <x:row r="157">
      <x:c r="A157" s="26" t="n">
        <x:v>46174</x:v>
      </x:c>
      <x:c r="B157" s="12" t="str">
        <x:v>Sales</x:v>
      </x:c>
      <x:c r="C157" s="12" t="str">
        <x:v>Software &amp; IT</x:v>
      </x:c>
      <x:c r="D157" s="12" t="str">
        <x:v>Operating Expense</x:v>
      </x:c>
      <x:c r="E157" s="27" t="n">
        <x:v>7200</x:v>
      </x:c>
      <x:c r="F157" s="27" t="n">
        <x:v>6700</x:v>
      </x:c>
      <x:c r="G157" s="30" t="n">
        <x:f>F157-E157</x:f>
        <x:v>-500</x:v>
      </x:c>
      <x:c r="H157" s="31" t="n">
        <x:f>IFERROR(G157/E157,0)</x:f>
        <x:v>-0.06944444444444445</x:v>
      </x:c>
      <x:c r="I157" s="12" t="str"/>
    </x:row>
    <x:row r="158">
      <x:c r="A158" s="26" t="n">
        <x:v>46174</x:v>
      </x:c>
      <x:c r="B158" s="12" t="str">
        <x:v>Marketing</x:v>
      </x:c>
      <x:c r="C158" s="12" t="str">
        <x:v>Product Revenue</x:v>
      </x:c>
      <x:c r="D158" s="12" t="str">
        <x:v>Revenue</x:v>
      </x:c>
      <x:c r="E158" s="27" t="n">
        <x:v>31200</x:v>
      </x:c>
      <x:c r="F158" s="27" t="n">
        <x:v>28800</x:v>
      </x:c>
      <x:c r="G158" s="30" t="n">
        <x:f>F158-E158</x:f>
        <x:v>-2400</x:v>
      </x:c>
      <x:c r="H158" s="31" t="n">
        <x:f>IFERROR(G158/E158,0)</x:f>
        <x:v>-0.07692307692307693</x:v>
      </x:c>
      <x:c r="I158" s="12" t="str"/>
    </x:row>
    <x:row r="159">
      <x:c r="A159" s="26" t="n">
        <x:v>46174</x:v>
      </x:c>
      <x:c r="B159" s="12" t="str">
        <x:v>Marketing</x:v>
      </x:c>
      <x:c r="C159" s="12" t="str">
        <x:v>Service Revenue</x:v>
      </x:c>
      <x:c r="D159" s="12" t="str">
        <x:v>Revenue</x:v>
      </x:c>
      <x:c r="E159" s="27" t="n">
        <x:v>11400</x:v>
      </x:c>
      <x:c r="F159" s="27" t="n">
        <x:v>12500</x:v>
      </x:c>
      <x:c r="G159" s="30" t="n">
        <x:f>F159-E159</x:f>
        <x:v>1100</x:v>
      </x:c>
      <x:c r="H159" s="31" t="n">
        <x:f>IFERROR(G159/E159,0)</x:f>
        <x:v>0.09649122807017543</x:v>
      </x:c>
      <x:c r="I159" s="12" t="str"/>
    </x:row>
    <x:row r="160">
      <x:c r="A160" s="26" t="n">
        <x:v>46174</x:v>
      </x:c>
      <x:c r="B160" s="12" t="str">
        <x:v>Marketing</x:v>
      </x:c>
      <x:c r="C160" s="12" t="str">
        <x:v>Payroll</x:v>
      </x:c>
      <x:c r="D160" s="12" t="str">
        <x:v>Operating Expense</x:v>
      </x:c>
      <x:c r="E160" s="27" t="n">
        <x:v>33700</x:v>
      </x:c>
      <x:c r="F160" s="27" t="n">
        <x:v>35300</x:v>
      </x:c>
      <x:c r="G160" s="30" t="n">
        <x:f>F160-E160</x:f>
        <x:v>1600</x:v>
      </x:c>
      <x:c r="H160" s="31" t="n">
        <x:f>IFERROR(G160/E160,0)</x:f>
        <x:v>0.04747774480712166</x:v>
      </x:c>
      <x:c r="I160" s="12" t="str"/>
    </x:row>
    <x:row r="161">
      <x:c r="A161" s="26" t="n">
        <x:v>46174</x:v>
      </x:c>
      <x:c r="B161" s="12" t="str">
        <x:v>Marketing</x:v>
      </x:c>
      <x:c r="C161" s="12" t="str">
        <x:v>Marketing Spend</x:v>
      </x:c>
      <x:c r="D161" s="12" t="str">
        <x:v>Operating Expense</x:v>
      </x:c>
      <x:c r="E161" s="27" t="n">
        <x:v>43800</x:v>
      </x:c>
      <x:c r="F161" s="27" t="n">
        <x:v>49500</x:v>
      </x:c>
      <x:c r="G161" s="30" t="n">
        <x:f>F161-E161</x:f>
        <x:v>5700</x:v>
      </x:c>
      <x:c r="H161" s="31" t="n">
        <x:f>IFERROR(G161/E161,0)</x:f>
        <x:v>0.13013698630136986</x:v>
      </x:c>
      <x:c r="I161" s="12" t="str"/>
    </x:row>
    <x:row r="162">
      <x:c r="A162" s="26" t="n">
        <x:v>46174</x:v>
      </x:c>
      <x:c r="B162" s="12" t="str">
        <x:v>Marketing</x:v>
      </x:c>
      <x:c r="C162" s="12" t="str">
        <x:v>Rent &amp; Utilities</x:v>
      </x:c>
      <x:c r="D162" s="12" t="str">
        <x:v>Operating Expense</x:v>
      </x:c>
      <x:c r="E162" s="27" t="n">
        <x:v>6200</x:v>
      </x:c>
      <x:c r="F162" s="27" t="n">
        <x:v>7100</x:v>
      </x:c>
      <x:c r="G162" s="30" t="n">
        <x:f>F162-E162</x:f>
        <x:v>900</x:v>
      </x:c>
      <x:c r="H162" s="31" t="n">
        <x:f>IFERROR(G162/E162,0)</x:f>
        <x:v>0.14516129032258066</x:v>
      </x:c>
      <x:c r="I162" s="12" t="str"/>
    </x:row>
    <x:row r="163">
      <x:c r="A163" s="26" t="n">
        <x:v>46174</x:v>
      </x:c>
      <x:c r="B163" s="12" t="str">
        <x:v>Marketing</x:v>
      </x:c>
      <x:c r="C163" s="12" t="str">
        <x:v>Software &amp; IT</x:v>
      </x:c>
      <x:c r="D163" s="12" t="str">
        <x:v>Operating Expense</x:v>
      </x:c>
      <x:c r="E163" s="27" t="n">
        <x:v>9200</x:v>
      </x:c>
      <x:c r="F163" s="27" t="n">
        <x:v>10300</x:v>
      </x:c>
      <x:c r="G163" s="30" t="n">
        <x:f>F163-E163</x:f>
        <x:v>1100</x:v>
      </x:c>
      <x:c r="H163" s="31" t="n">
        <x:f>IFERROR(G163/E163,0)</x:f>
        <x:v>0.11956521739130435</x:v>
      </x:c>
      <x:c r="I163" s="12" t="str"/>
    </x:row>
    <x:row r="164">
      <x:c r="A164" s="26" t="n">
        <x:v>46174</x:v>
      </x:c>
      <x:c r="B164" s="12" t="str">
        <x:v>Operations</x:v>
      </x:c>
      <x:c r="C164" s="12" t="str">
        <x:v>Product Revenue</x:v>
      </x:c>
      <x:c r="D164" s="12" t="str">
        <x:v>Revenue</x:v>
      </x:c>
      <x:c r="E164" s="27" t="n">
        <x:v>20400</x:v>
      </x:c>
      <x:c r="F164" s="27" t="n">
        <x:v>21700</x:v>
      </x:c>
      <x:c r="G164" s="30" t="n">
        <x:f>F164-E164</x:f>
        <x:v>1300</x:v>
      </x:c>
      <x:c r="H164" s="31" t="n">
        <x:f>IFERROR(G164/E164,0)</x:f>
        <x:v>0.06372549019607843</x:v>
      </x:c>
      <x:c r="I164" s="12" t="str"/>
    </x:row>
    <x:row r="165">
      <x:c r="A165" s="26" t="n">
        <x:v>46174</x:v>
      </x:c>
      <x:c r="B165" s="12" t="str">
        <x:v>Operations</x:v>
      </x:c>
      <x:c r="C165" s="12" t="str">
        <x:v>Service Revenue</x:v>
      </x:c>
      <x:c r="D165" s="12" t="str">
        <x:v>Revenue</x:v>
      </x:c>
      <x:c r="E165" s="27" t="n">
        <x:v>7300</x:v>
      </x:c>
      <x:c r="F165" s="27" t="n">
        <x:v>8100</x:v>
      </x:c>
      <x:c r="G165" s="30" t="n">
        <x:f>F165-E165</x:f>
        <x:v>800</x:v>
      </x:c>
      <x:c r="H165" s="31" t="n">
        <x:f>IFERROR(G165/E165,0)</x:f>
        <x:v>0.1095890410958904</x:v>
      </x:c>
      <x:c r="I165" s="12" t="str"/>
    </x:row>
    <x:row r="166">
      <x:c r="A166" s="26" t="n">
        <x:v>46174</x:v>
      </x:c>
      <x:c r="B166" s="12" t="str">
        <x:v>Operations</x:v>
      </x:c>
      <x:c r="C166" s="12" t="str">
        <x:v>Payroll</x:v>
      </x:c>
      <x:c r="D166" s="12" t="str">
        <x:v>Operating Expense</x:v>
      </x:c>
      <x:c r="E166" s="27" t="n">
        <x:v>61500</x:v>
      </x:c>
      <x:c r="F166" s="27" t="n">
        <x:v>68500</x:v>
      </x:c>
      <x:c r="G166" s="30" t="n">
        <x:f>F166-E166</x:f>
        <x:v>7000</x:v>
      </x:c>
      <x:c r="H166" s="31" t="n">
        <x:f>IFERROR(G166/E166,0)</x:f>
        <x:v>0.11382113821138211</x:v>
      </x:c>
      <x:c r="I166" s="12" t="str"/>
    </x:row>
    <x:row r="167">
      <x:c r="A167" s="26" t="n">
        <x:v>46174</x:v>
      </x:c>
      <x:c r="B167" s="12" t="str">
        <x:v>Operations</x:v>
      </x:c>
      <x:c r="C167" s="12" t="str">
        <x:v>Marketing Spend</x:v>
      </x:c>
      <x:c r="D167" s="12" t="str">
        <x:v>Operating Expense</x:v>
      </x:c>
      <x:c r="E167" s="27" t="n">
        <x:v>3100</x:v>
      </x:c>
      <x:c r="F167" s="27" t="n">
        <x:v>3000</x:v>
      </x:c>
      <x:c r="G167" s="30" t="n">
        <x:f>F167-E167</x:f>
        <x:v>-100</x:v>
      </x:c>
      <x:c r="H167" s="31" t="n">
        <x:f>IFERROR(G167/E167,0)</x:f>
        <x:v>-0.03225806451612903</x:v>
      </x:c>
      <x:c r="I167" s="12" t="str"/>
    </x:row>
    <x:row r="168">
      <x:c r="A168" s="26" t="n">
        <x:v>46174</x:v>
      </x:c>
      <x:c r="B168" s="12" t="str">
        <x:v>Operations</x:v>
      </x:c>
      <x:c r="C168" s="12" t="str">
        <x:v>Rent &amp; Utilities</x:v>
      </x:c>
      <x:c r="D168" s="12" t="str">
        <x:v>Operating Expense</x:v>
      </x:c>
      <x:c r="E168" s="27" t="n">
        <x:v>18400</x:v>
      </x:c>
      <x:c r="F168" s="27" t="n">
        <x:v>16700</x:v>
      </x:c>
      <x:c r="G168" s="30" t="n">
        <x:f>F168-E168</x:f>
        <x:v>-1700</x:v>
      </x:c>
      <x:c r="H168" s="31" t="n">
        <x:f>IFERROR(G168/E168,0)</x:f>
        <x:v>-0.09239130434782608</x:v>
      </x:c>
      <x:c r="I168" s="12" t="str"/>
    </x:row>
    <x:row r="169">
      <x:c r="A169" s="26" t="n">
        <x:v>46174</x:v>
      </x:c>
      <x:c r="B169" s="12" t="str">
        <x:v>Operations</x:v>
      </x:c>
      <x:c r="C169" s="12" t="str">
        <x:v>Software &amp; IT</x:v>
      </x:c>
      <x:c r="D169" s="12" t="str">
        <x:v>Operating Expense</x:v>
      </x:c>
      <x:c r="E169" s="27" t="n">
        <x:v>12400</x:v>
      </x:c>
      <x:c r="F169" s="27" t="n">
        <x:v>13800</x:v>
      </x:c>
      <x:c r="G169" s="30" t="n">
        <x:f>F169-E169</x:f>
        <x:v>1400</x:v>
      </x:c>
      <x:c r="H169" s="31" t="n">
        <x:f>IFERROR(G169/E169,0)</x:f>
        <x:v>0.11290322580645161</x:v>
      </x:c>
      <x:c r="I169" s="12" t="str"/>
    </x:row>
    <x:row r="170">
      <x:c r="A170" s="26" t="n">
        <x:v>46174</x:v>
      </x:c>
      <x:c r="B170" s="12" t="str">
        <x:v>Finance</x:v>
      </x:c>
      <x:c r="C170" s="12" t="str">
        <x:v>Product Revenue</x:v>
      </x:c>
      <x:c r="D170" s="12" t="str">
        <x:v>Revenue</x:v>
      </x:c>
      <x:c r="E170" s="27" t="n">
        <x:v>10400</x:v>
      </x:c>
      <x:c r="F170" s="27" t="n">
        <x:v>11200</x:v>
      </x:c>
      <x:c r="G170" s="30" t="n">
        <x:f>F170-E170</x:f>
        <x:v>800</x:v>
      </x:c>
      <x:c r="H170" s="31" t="n">
        <x:f>IFERROR(G170/E170,0)</x:f>
        <x:v>0.07692307692307693</x:v>
      </x:c>
      <x:c r="I170" s="12" t="str"/>
    </x:row>
    <x:row r="171">
      <x:c r="A171" s="26" t="n">
        <x:v>46174</x:v>
      </x:c>
      <x:c r="B171" s="12" t="str">
        <x:v>Finance</x:v>
      </x:c>
      <x:c r="C171" s="12" t="str">
        <x:v>Service Revenue</x:v>
      </x:c>
      <x:c r="D171" s="12" t="str">
        <x:v>Revenue</x:v>
      </x:c>
      <x:c r="E171" s="27" t="n">
        <x:v>3700</x:v>
      </x:c>
      <x:c r="F171" s="27" t="n">
        <x:v>3600</x:v>
      </x:c>
      <x:c r="G171" s="30" t="n">
        <x:f>F171-E171</x:f>
        <x:v>-100</x:v>
      </x:c>
      <x:c r="H171" s="31" t="n">
        <x:f>IFERROR(G171/E171,0)</x:f>
        <x:v>-0.02702702702702703</x:v>
      </x:c>
      <x:c r="I171" s="12" t="str"/>
    </x:row>
    <x:row r="172">
      <x:c r="A172" s="26" t="n">
        <x:v>46174</x:v>
      </x:c>
      <x:c r="B172" s="12" t="str">
        <x:v>Finance</x:v>
      </x:c>
      <x:c r="C172" s="12" t="str">
        <x:v>Payroll</x:v>
      </x:c>
      <x:c r="D172" s="12" t="str">
        <x:v>Operating Expense</x:v>
      </x:c>
      <x:c r="E172" s="27" t="n">
        <x:v>38900</x:v>
      </x:c>
      <x:c r="F172" s="27" t="n">
        <x:v>36600</x:v>
      </x:c>
      <x:c r="G172" s="30" t="n">
        <x:f>F172-E172</x:f>
        <x:v>-2300</x:v>
      </x:c>
      <x:c r="H172" s="31" t="n">
        <x:f>IFERROR(G172/E172,0)</x:f>
        <x:v>-0.05912596401028278</x:v>
      </x:c>
      <x:c r="I172" s="12" t="str"/>
    </x:row>
    <x:row r="173">
      <x:c r="A173" s="26" t="n">
        <x:v>46174</x:v>
      </x:c>
      <x:c r="B173" s="12" t="str">
        <x:v>Finance</x:v>
      </x:c>
      <x:c r="C173" s="12" t="str">
        <x:v>Marketing Spend</x:v>
      </x:c>
      <x:c r="D173" s="12" t="str">
        <x:v>Operating Expense</x:v>
      </x:c>
      <x:c r="E173" s="27" t="n">
        <x:v>1000</x:v>
      </x:c>
      <x:c r="F173" s="27" t="n">
        <x:v>900</x:v>
      </x:c>
      <x:c r="G173" s="30" t="n">
        <x:f>F173-E173</x:f>
        <x:v>-100</x:v>
      </x:c>
      <x:c r="H173" s="31" t="n">
        <x:f>IFERROR(G173/E173,0)</x:f>
        <x:v>-0.1</x:v>
      </x:c>
      <x:c r="I173" s="12" t="str"/>
    </x:row>
    <x:row r="174">
      <x:c r="A174" s="26" t="n">
        <x:v>46174</x:v>
      </x:c>
      <x:c r="B174" s="12" t="str">
        <x:v>Finance</x:v>
      </x:c>
      <x:c r="C174" s="12" t="str">
        <x:v>Rent &amp; Utilities</x:v>
      </x:c>
      <x:c r="D174" s="12" t="str">
        <x:v>Operating Expense</x:v>
      </x:c>
      <x:c r="E174" s="27" t="n">
        <x:v>6900</x:v>
      </x:c>
      <x:c r="F174" s="27" t="n">
        <x:v>7700</x:v>
      </x:c>
      <x:c r="G174" s="30" t="n">
        <x:f>F174-E174</x:f>
        <x:v>800</x:v>
      </x:c>
      <x:c r="H174" s="31" t="n">
        <x:f>IFERROR(G174/E174,0)</x:f>
        <x:v>0.11594202898550725</x:v>
      </x:c>
      <x:c r="I174" s="12" t="str"/>
    </x:row>
    <x:row r="175">
      <x:c r="A175" s="26" t="n">
        <x:v>46174</x:v>
      </x:c>
      <x:c r="B175" s="12" t="str">
        <x:v>Finance</x:v>
      </x:c>
      <x:c r="C175" s="12" t="str">
        <x:v>Software &amp; IT</x:v>
      </x:c>
      <x:c r="D175" s="12" t="str">
        <x:v>Operating Expense</x:v>
      </x:c>
      <x:c r="E175" s="27" t="n">
        <x:v>11400</x:v>
      </x:c>
      <x:c r="F175" s="27" t="n">
        <x:v>10900</x:v>
      </x:c>
      <x:c r="G175" s="30" t="n">
        <x:f>F175-E175</x:f>
        <x:v>-500</x:v>
      </x:c>
      <x:c r="H175" s="31" t="n">
        <x:f>IFERROR(G175/E175,0)</x:f>
        <x:v>-0.043859649122807015</x:v>
      </x:c>
      <x:c r="I175" s="12" t="str"/>
    </x:row>
    <x:row r="176">
      <x:c r="A176" s="26" t="n">
        <x:v>46174</x:v>
      </x:c>
      <x:c r="B176" s="12" t="str">
        <x:v>HR</x:v>
      </x:c>
      <x:c r="C176" s="12" t="str">
        <x:v>Product Revenue</x:v>
      </x:c>
      <x:c r="D176" s="12" t="str">
        <x:v>Revenue</x:v>
      </x:c>
      <x:c r="E176" s="27" t="n">
        <x:v>5400</x:v>
      </x:c>
      <x:c r="F176" s="27" t="n">
        <x:v>5300</x:v>
      </x:c>
      <x:c r="G176" s="30" t="n">
        <x:f>F176-E176</x:f>
        <x:v>-100</x:v>
      </x:c>
      <x:c r="H176" s="31" t="n">
        <x:f>IFERROR(G176/E176,0)</x:f>
        <x:v>-0.018518518518518517</x:v>
      </x:c>
      <x:c r="I176" s="12" t="str"/>
    </x:row>
    <x:row r="177">
      <x:c r="A177" s="26" t="n">
        <x:v>46174</x:v>
      </x:c>
      <x:c r="B177" s="12" t="str">
        <x:v>HR</x:v>
      </x:c>
      <x:c r="C177" s="12" t="str">
        <x:v>Service Revenue</x:v>
      </x:c>
      <x:c r="D177" s="12" t="str">
        <x:v>Revenue</x:v>
      </x:c>
      <x:c r="E177" s="27" t="n">
        <x:v>1900</x:v>
      </x:c>
      <x:c r="F177" s="27" t="n">
        <x:v>1900</x:v>
      </x:c>
      <x:c r="G177" s="30" t="n">
        <x:f>F177-E177</x:f>
        <x:v>0</x:v>
      </x:c>
      <x:c r="H177" s="31" t="n">
        <x:f>IFERROR(G177/E177,0)</x:f>
        <x:v>0</x:v>
      </x:c>
      <x:c r="I177" s="12" t="str"/>
    </x:row>
    <x:row r="178">
      <x:c r="A178" s="26" t="n">
        <x:v>46174</x:v>
      </x:c>
      <x:c r="B178" s="12" t="str">
        <x:v>HR</x:v>
      </x:c>
      <x:c r="C178" s="12" t="str">
        <x:v>Payroll</x:v>
      </x:c>
      <x:c r="D178" s="12" t="str">
        <x:v>Operating Expense</x:v>
      </x:c>
      <x:c r="E178" s="27" t="n">
        <x:v>31100</x:v>
      </x:c>
      <x:c r="F178" s="27" t="n">
        <x:v>28300</x:v>
      </x:c>
      <x:c r="G178" s="30" t="n">
        <x:f>F178-E178</x:f>
        <x:v>-2800</x:v>
      </x:c>
      <x:c r="H178" s="31" t="n">
        <x:f>IFERROR(G178/E178,0)</x:f>
        <x:v>-0.09003215434083602</x:v>
      </x:c>
      <x:c r="I178" s="12" t="str"/>
    </x:row>
    <x:row r="179">
      <x:c r="A179" s="26" t="n">
        <x:v>46174</x:v>
      </x:c>
      <x:c r="B179" s="12" t="str">
        <x:v>HR</x:v>
      </x:c>
      <x:c r="C179" s="12" t="str">
        <x:v>Marketing Spend</x:v>
      </x:c>
      <x:c r="D179" s="12" t="str">
        <x:v>Operating Expense</x:v>
      </x:c>
      <x:c r="E179" s="27" t="n">
        <x:v>2100</x:v>
      </x:c>
      <x:c r="F179" s="27" t="n">
        <x:v>1900</x:v>
      </x:c>
      <x:c r="G179" s="30" t="n">
        <x:f>F179-E179</x:f>
        <x:v>-200</x:v>
      </x:c>
      <x:c r="H179" s="31" t="n">
        <x:f>IFERROR(G179/E179,0)</x:f>
        <x:v>-0.09523809523809523</x:v>
      </x:c>
      <x:c r="I179" s="12" t="str"/>
    </x:row>
    <x:row r="180">
      <x:c r="A180" s="26" t="n">
        <x:v>46174</x:v>
      </x:c>
      <x:c r="B180" s="12" t="str">
        <x:v>HR</x:v>
      </x:c>
      <x:c r="C180" s="12" t="str">
        <x:v>Rent &amp; Utilities</x:v>
      </x:c>
      <x:c r="D180" s="12" t="str">
        <x:v>Operating Expense</x:v>
      </x:c>
      <x:c r="E180" s="27" t="n">
        <x:v>5200</x:v>
      </x:c>
      <x:c r="F180" s="27" t="n">
        <x:v>4900</x:v>
      </x:c>
      <x:c r="G180" s="30" t="n">
        <x:f>F180-E180</x:f>
        <x:v>-300</x:v>
      </x:c>
      <x:c r="H180" s="31" t="n">
        <x:f>IFERROR(G180/E180,0)</x:f>
        <x:v>-0.057692307692307696</x:v>
      </x:c>
      <x:c r="I180" s="12" t="str"/>
    </x:row>
    <x:row r="181">
      <x:c r="A181" s="26" t="n">
        <x:v>46174</x:v>
      </x:c>
      <x:c r="B181" s="12" t="str">
        <x:v>HR</x:v>
      </x:c>
      <x:c r="C181" s="12" t="str">
        <x:v>Software &amp; IT</x:v>
      </x:c>
      <x:c r="D181" s="12" t="str">
        <x:v>Operating Expense</x:v>
      </x:c>
      <x:c r="E181" s="27" t="n">
        <x:v>4800</x:v>
      </x:c>
      <x:c r="F181" s="27" t="n">
        <x:v>4800</x:v>
      </x:c>
      <x:c r="G181" s="30" t="n">
        <x:f>F181-E181</x:f>
        <x:v>0</x:v>
      </x:c>
      <x:c r="H181" s="31" t="n">
        <x:f>IFERROR(G181/E181,0)</x:f>
        <x:v>0</x:v>
      </x:c>
      <x:c r="I181" s="12" t="str"/>
    </x:row>
    <x:row r="182">
      <x:c r="A182" s="26" t="n">
        <x:v>46204</x:v>
      </x:c>
      <x:c r="B182" s="12" t="str">
        <x:v>Sales</x:v>
      </x:c>
      <x:c r="C182" s="12" t="str">
        <x:v>Product Revenue</x:v>
      </x:c>
      <x:c r="D182" s="12" t="str">
        <x:v>Revenue</x:v>
      </x:c>
      <x:c r="E182" s="27" t="n">
        <x:v>183300</x:v>
      </x:c>
      <x:c r="F182" s="27" t="n">
        <x:v>177600</x:v>
      </x:c>
      <x:c r="G182" s="30" t="n">
        <x:f>F182-E182</x:f>
        <x:v>-5700</x:v>
      </x:c>
      <x:c r="H182" s="31" t="n">
        <x:f>IFERROR(G182/E182,0)</x:f>
        <x:v>-0.031096563011456628</x:v>
      </x:c>
      <x:c r="I182" s="12" t="str"/>
    </x:row>
    <x:row r="183">
      <x:c r="A183" s="26" t="n">
        <x:v>46204</x:v>
      </x:c>
      <x:c r="B183" s="12" t="str">
        <x:v>Sales</x:v>
      </x:c>
      <x:c r="C183" s="12" t="str">
        <x:v>Service Revenue</x:v>
      </x:c>
      <x:c r="D183" s="12" t="str">
        <x:v>Revenue</x:v>
      </x:c>
      <x:c r="E183" s="27" t="n">
        <x:v>63500</x:v>
      </x:c>
      <x:c r="F183" s="27" t="n">
        <x:v>64300</x:v>
      </x:c>
      <x:c r="G183" s="30" t="n">
        <x:f>F183-E183</x:f>
        <x:v>800</x:v>
      </x:c>
      <x:c r="H183" s="31" t="n">
        <x:f>IFERROR(G183/E183,0)</x:f>
        <x:v>0.012598425196850394</x:v>
      </x:c>
      <x:c r="I183" s="12" t="str"/>
    </x:row>
    <x:row r="184">
      <x:c r="A184" s="26" t="n">
        <x:v>46204</x:v>
      </x:c>
      <x:c r="B184" s="12" t="str">
        <x:v>Sales</x:v>
      </x:c>
      <x:c r="C184" s="12" t="str">
        <x:v>Payroll</x:v>
      </x:c>
      <x:c r="D184" s="12" t="str">
        <x:v>Operating Expense</x:v>
      </x:c>
      <x:c r="E184" s="27" t="n">
        <x:v>51500</x:v>
      </x:c>
      <x:c r="F184" s="27" t="n">
        <x:v>53300</x:v>
      </x:c>
      <x:c r="G184" s="30" t="n">
        <x:f>F184-E184</x:f>
        <x:v>1800</x:v>
      </x:c>
      <x:c r="H184" s="31" t="n">
        <x:f>IFERROR(G184/E184,0)</x:f>
        <x:v>0.03495145631067961</x:v>
      </x:c>
      <x:c r="I184" s="12" t="str"/>
    </x:row>
    <x:row r="185">
      <x:c r="A185" s="26" t="n">
        <x:v>46204</x:v>
      </x:c>
      <x:c r="B185" s="12" t="str">
        <x:v>Sales</x:v>
      </x:c>
      <x:c r="C185" s="12" t="str">
        <x:v>Marketing Spend</x:v>
      </x:c>
      <x:c r="D185" s="12" t="str">
        <x:v>Operating Expense</x:v>
      </x:c>
      <x:c r="E185" s="27" t="n">
        <x:v>9800</x:v>
      </x:c>
      <x:c r="F185" s="27" t="n">
        <x:v>10500</x:v>
      </x:c>
      <x:c r="G185" s="30" t="n">
        <x:f>F185-E185</x:f>
        <x:v>700</x:v>
      </x:c>
      <x:c r="H185" s="31" t="n">
        <x:f>IFERROR(G185/E185,0)</x:f>
        <x:v>0.07142857142857142</x:v>
      </x:c>
      <x:c r="I185" s="12" t="str"/>
    </x:row>
    <x:row r="186">
      <x:c r="A186" s="26" t="n">
        <x:v>46204</x:v>
      </x:c>
      <x:c r="B186" s="12" t="str">
        <x:v>Sales</x:v>
      </x:c>
      <x:c r="C186" s="12" t="str">
        <x:v>Rent &amp; Utilities</x:v>
      </x:c>
      <x:c r="D186" s="12" t="str">
        <x:v>Operating Expense</x:v>
      </x:c>
      <x:c r="E186" s="27" t="n">
        <x:v>7700</x:v>
      </x:c>
      <x:c r="F186" s="27" t="n">
        <x:v>8700</x:v>
      </x:c>
      <x:c r="G186" s="30" t="n">
        <x:f>F186-E186</x:f>
        <x:v>1000</x:v>
      </x:c>
      <x:c r="H186" s="31" t="n">
        <x:f>IFERROR(G186/E186,0)</x:f>
        <x:v>0.12987012987012986</x:v>
      </x:c>
      <x:c r="I186" s="12" t="str"/>
    </x:row>
    <x:row r="187">
      <x:c r="A187" s="26" t="n">
        <x:v>46204</x:v>
      </x:c>
      <x:c r="B187" s="12" t="str">
        <x:v>Sales</x:v>
      </x:c>
      <x:c r="C187" s="12" t="str">
        <x:v>Software &amp; IT</x:v>
      </x:c>
      <x:c r="D187" s="12" t="str">
        <x:v>Operating Expense</x:v>
      </x:c>
      <x:c r="E187" s="27" t="n">
        <x:v>7000</x:v>
      </x:c>
      <x:c r="F187" s="27" t="n">
        <x:v>7500</x:v>
      </x:c>
      <x:c r="G187" s="30" t="n">
        <x:f>F187-E187</x:f>
        <x:v>500</x:v>
      </x:c>
      <x:c r="H187" s="31" t="n">
        <x:f>IFERROR(G187/E187,0)</x:f>
        <x:v>0.07142857142857142</x:v>
      </x:c>
      <x:c r="I187" s="12" t="str"/>
    </x:row>
    <x:row r="188">
      <x:c r="A188" s="26" t="n">
        <x:v>46204</x:v>
      </x:c>
      <x:c r="B188" s="12" t="str">
        <x:v>Marketing</x:v>
      </x:c>
      <x:c r="C188" s="12" t="str">
        <x:v>Product Revenue</x:v>
      </x:c>
      <x:c r="D188" s="12" t="str">
        <x:v>Revenue</x:v>
      </x:c>
      <x:c r="E188" s="27" t="n">
        <x:v>30600</x:v>
      </x:c>
      <x:c r="F188" s="27" t="n">
        <x:v>32100</x:v>
      </x:c>
      <x:c r="G188" s="30" t="n">
        <x:f>F188-E188</x:f>
        <x:v>1500</x:v>
      </x:c>
      <x:c r="H188" s="31" t="n">
        <x:f>IFERROR(G188/E188,0)</x:f>
        <x:v>0.049019607843137254</x:v>
      </x:c>
      <x:c r="I188" s="12" t="str"/>
    </x:row>
    <x:row r="189">
      <x:c r="A189" s="26" t="n">
        <x:v>46204</x:v>
      </x:c>
      <x:c r="B189" s="12" t="str">
        <x:v>Marketing</x:v>
      </x:c>
      <x:c r="C189" s="12" t="str">
        <x:v>Service Revenue</x:v>
      </x:c>
      <x:c r="D189" s="12" t="str">
        <x:v>Revenue</x:v>
      </x:c>
      <x:c r="E189" s="27" t="n">
        <x:v>10400</x:v>
      </x:c>
      <x:c r="F189" s="27" t="n">
        <x:v>9500</x:v>
      </x:c>
      <x:c r="G189" s="30" t="n">
        <x:f>F189-E189</x:f>
        <x:v>-900</x:v>
      </x:c>
      <x:c r="H189" s="31" t="n">
        <x:f>IFERROR(G189/E189,0)</x:f>
        <x:v>-0.08653846153846154</x:v>
      </x:c>
      <x:c r="I189" s="12" t="str"/>
    </x:row>
    <x:row r="190">
      <x:c r="A190" s="26" t="n">
        <x:v>46204</x:v>
      </x:c>
      <x:c r="B190" s="12" t="str">
        <x:v>Marketing</x:v>
      </x:c>
      <x:c r="C190" s="12" t="str">
        <x:v>Payroll</x:v>
      </x:c>
      <x:c r="D190" s="12" t="str">
        <x:v>Operating Expense</x:v>
      </x:c>
      <x:c r="E190" s="27" t="n">
        <x:v>34400</x:v>
      </x:c>
      <x:c r="F190" s="27" t="n">
        <x:v>33300</x:v>
      </x:c>
      <x:c r="G190" s="30" t="n">
        <x:f>F190-E190</x:f>
        <x:v>-1100</x:v>
      </x:c>
      <x:c r="H190" s="31" t="n">
        <x:f>IFERROR(G190/E190,0)</x:f>
        <x:v>-0.03197674418604651</x:v>
      </x:c>
      <x:c r="I190" s="12" t="str"/>
    </x:row>
    <x:row r="191">
      <x:c r="A191" s="26" t="n">
        <x:v>46204</x:v>
      </x:c>
      <x:c r="B191" s="12" t="str">
        <x:v>Marketing</x:v>
      </x:c>
      <x:c r="C191" s="12" t="str">
        <x:v>Marketing Spend</x:v>
      </x:c>
      <x:c r="D191" s="12" t="str">
        <x:v>Operating Expense</x:v>
      </x:c>
      <x:c r="E191" s="27" t="n">
        <x:v>44300</x:v>
      </x:c>
      <x:c r="F191" s="27" t="n">
        <x:v>49100</x:v>
      </x:c>
      <x:c r="G191" s="30" t="n">
        <x:f>F191-E191</x:f>
        <x:v>4800</x:v>
      </x:c>
      <x:c r="H191" s="31" t="n">
        <x:f>IFERROR(G191/E191,0)</x:f>
        <x:v>0.10835214446952596</x:v>
      </x:c>
      <x:c r="I191" s="12" t="str"/>
    </x:row>
    <x:row r="192">
      <x:c r="A192" s="26" t="n">
        <x:v>46204</x:v>
      </x:c>
      <x:c r="B192" s="12" t="str">
        <x:v>Marketing</x:v>
      </x:c>
      <x:c r="C192" s="12" t="str">
        <x:v>Rent &amp; Utilities</x:v>
      </x:c>
      <x:c r="D192" s="12" t="str">
        <x:v>Operating Expense</x:v>
      </x:c>
      <x:c r="E192" s="27" t="n">
        <x:v>6100</x:v>
      </x:c>
      <x:c r="F192" s="27" t="n">
        <x:v>5900</x:v>
      </x:c>
      <x:c r="G192" s="30" t="n">
        <x:f>F192-E192</x:f>
        <x:v>-200</x:v>
      </x:c>
      <x:c r="H192" s="31" t="n">
        <x:f>IFERROR(G192/E192,0)</x:f>
        <x:v>-0.03278688524590164</x:v>
      </x:c>
      <x:c r="I192" s="12" t="str"/>
    </x:row>
    <x:row r="193">
      <x:c r="A193" s="26" t="n">
        <x:v>46204</x:v>
      </x:c>
      <x:c r="B193" s="12" t="str">
        <x:v>Marketing</x:v>
      </x:c>
      <x:c r="C193" s="12" t="str">
        <x:v>Software &amp; IT</x:v>
      </x:c>
      <x:c r="D193" s="12" t="str">
        <x:v>Operating Expense</x:v>
      </x:c>
      <x:c r="E193" s="27" t="n">
        <x:v>8900</x:v>
      </x:c>
      <x:c r="F193" s="27" t="n">
        <x:v>8800</x:v>
      </x:c>
      <x:c r="G193" s="30" t="n">
        <x:f>F193-E193</x:f>
        <x:v>-100</x:v>
      </x:c>
      <x:c r="H193" s="31" t="n">
        <x:f>IFERROR(G193/E193,0)</x:f>
        <x:v>-0.011235955056179775</x:v>
      </x:c>
      <x:c r="I193" s="12" t="str"/>
    </x:row>
    <x:row r="194">
      <x:c r="A194" s="26" t="n">
        <x:v>46204</x:v>
      </x:c>
      <x:c r="B194" s="12" t="str">
        <x:v>Operations</x:v>
      </x:c>
      <x:c r="C194" s="12" t="str">
        <x:v>Product Revenue</x:v>
      </x:c>
      <x:c r="D194" s="12" t="str">
        <x:v>Revenue</x:v>
      </x:c>
      <x:c r="E194" s="27" t="n">
        <x:v>19800</x:v>
      </x:c>
      <x:c r="F194" s="27" t="n">
        <x:v>19100</x:v>
      </x:c>
      <x:c r="G194" s="30" t="n">
        <x:f>F194-E194</x:f>
        <x:v>-700</x:v>
      </x:c>
      <x:c r="H194" s="31" t="n">
        <x:f>IFERROR(G194/E194,0)</x:f>
        <x:v>-0.03535353535353535</x:v>
      </x:c>
      <x:c r="I194" s="12" t="str"/>
    </x:row>
    <x:row r="195">
      <x:c r="A195" s="26" t="n">
        <x:v>46204</x:v>
      </x:c>
      <x:c r="B195" s="12" t="str">
        <x:v>Operations</x:v>
      </x:c>
      <x:c r="C195" s="12" t="str">
        <x:v>Service Revenue</x:v>
      </x:c>
      <x:c r="D195" s="12" t="str">
        <x:v>Revenue</x:v>
      </x:c>
      <x:c r="E195" s="27" t="n">
        <x:v>6800</x:v>
      </x:c>
      <x:c r="F195" s="27" t="n">
        <x:v>6700</x:v>
      </x:c>
      <x:c r="G195" s="30" t="n">
        <x:f>F195-E195</x:f>
        <x:v>-100</x:v>
      </x:c>
      <x:c r="H195" s="31" t="n">
        <x:f>IFERROR(G195/E195,0)</x:f>
        <x:v>-0.014705882352941176</x:v>
      </x:c>
      <x:c r="I195" s="12" t="str"/>
    </x:row>
    <x:row r="196">
      <x:c r="A196" s="26" t="n">
        <x:v>46204</x:v>
      </x:c>
      <x:c r="B196" s="12" t="str">
        <x:v>Operations</x:v>
      </x:c>
      <x:c r="C196" s="12" t="str">
        <x:v>Payroll</x:v>
      </x:c>
      <x:c r="D196" s="12" t="str">
        <x:v>Operating Expense</x:v>
      </x:c>
      <x:c r="E196" s="27" t="n">
        <x:v>62100</x:v>
      </x:c>
      <x:c r="F196" s="27" t="n">
        <x:v>66000</x:v>
      </x:c>
      <x:c r="G196" s="30" t="n">
        <x:f>F196-E196</x:f>
        <x:v>3900</x:v>
      </x:c>
      <x:c r="H196" s="31" t="n">
        <x:f>IFERROR(G196/E196,0)</x:f>
        <x:v>0.06280193236714976</x:v>
      </x:c>
      <x:c r="I196" s="12" t="str"/>
    </x:row>
    <x:row r="197">
      <x:c r="A197" s="26" t="n">
        <x:v>46204</x:v>
      </x:c>
      <x:c r="B197" s="12" t="str">
        <x:v>Operations</x:v>
      </x:c>
      <x:c r="C197" s="12" t="str">
        <x:v>Marketing Spend</x:v>
      </x:c>
      <x:c r="D197" s="12" t="str">
        <x:v>Operating Expense</x:v>
      </x:c>
      <x:c r="E197" s="27" t="n">
        <x:v>3100</x:v>
      </x:c>
      <x:c r="F197" s="27" t="n">
        <x:v>3200</x:v>
      </x:c>
      <x:c r="G197" s="30" t="n">
        <x:f>F197-E197</x:f>
        <x:v>100</x:v>
      </x:c>
      <x:c r="H197" s="31" t="n">
        <x:f>IFERROR(G197/E197,0)</x:f>
        <x:v>0.03225806451612903</x:v>
      </x:c>
      <x:c r="I197" s="12" t="str"/>
    </x:row>
    <x:row r="198">
      <x:c r="A198" s="26" t="n">
        <x:v>46204</x:v>
      </x:c>
      <x:c r="B198" s="12" t="str">
        <x:v>Operations</x:v>
      </x:c>
      <x:c r="C198" s="12" t="str">
        <x:v>Rent &amp; Utilities</x:v>
      </x:c>
      <x:c r="D198" s="12" t="str">
        <x:v>Operating Expense</x:v>
      </x:c>
      <x:c r="E198" s="27" t="n">
        <x:v>17700</x:v>
      </x:c>
      <x:c r="F198" s="27" t="n">
        <x:v>18200</x:v>
      </x:c>
      <x:c r="G198" s="30" t="n">
        <x:f>F198-E198</x:f>
        <x:v>500</x:v>
      </x:c>
      <x:c r="H198" s="31" t="n">
        <x:f>IFERROR(G198/E198,0)</x:f>
        <x:v>0.02824858757062147</x:v>
      </x:c>
      <x:c r="I198" s="12" t="str"/>
    </x:row>
    <x:row r="199">
      <x:c r="A199" s="26" t="n">
        <x:v>46204</x:v>
      </x:c>
      <x:c r="B199" s="12" t="str">
        <x:v>Operations</x:v>
      </x:c>
      <x:c r="C199" s="12" t="str">
        <x:v>Software &amp; IT</x:v>
      </x:c>
      <x:c r="D199" s="12" t="str">
        <x:v>Operating Expense</x:v>
      </x:c>
      <x:c r="E199" s="27" t="n">
        <x:v>11500</x:v>
      </x:c>
      <x:c r="F199" s="27" t="n">
        <x:v>11000</x:v>
      </x:c>
      <x:c r="G199" s="30" t="n">
        <x:f>F199-E199</x:f>
        <x:v>-500</x:v>
      </x:c>
      <x:c r="H199" s="31" t="n">
        <x:f>IFERROR(G199/E199,0)</x:f>
        <x:v>-0.043478260869565216</x:v>
      </x:c>
      <x:c r="I199" s="12" t="str"/>
    </x:row>
    <x:row r="200">
      <x:c r="A200" s="26" t="n">
        <x:v>46204</x:v>
      </x:c>
      <x:c r="B200" s="12" t="str">
        <x:v>Finance</x:v>
      </x:c>
      <x:c r="C200" s="12" t="str">
        <x:v>Product Revenue</x:v>
      </x:c>
      <x:c r="D200" s="12" t="str">
        <x:v>Revenue</x:v>
      </x:c>
      <x:c r="E200" s="27" t="n">
        <x:v>9900</x:v>
      </x:c>
      <x:c r="F200" s="27" t="n">
        <x:v>10200</x:v>
      </x:c>
      <x:c r="G200" s="30" t="n">
        <x:f>F200-E200</x:f>
        <x:v>300</x:v>
      </x:c>
      <x:c r="H200" s="31" t="n">
        <x:f>IFERROR(G200/E200,0)</x:f>
        <x:v>0.030303030303030304</x:v>
      </x:c>
      <x:c r="I200" s="12" t="str"/>
    </x:row>
    <x:row r="201">
      <x:c r="A201" s="26" t="n">
        <x:v>46204</x:v>
      </x:c>
      <x:c r="B201" s="12" t="str">
        <x:v>Finance</x:v>
      </x:c>
      <x:c r="C201" s="12" t="str">
        <x:v>Service Revenue</x:v>
      </x:c>
      <x:c r="D201" s="12" t="str">
        <x:v>Revenue</x:v>
      </x:c>
      <x:c r="E201" s="27" t="n">
        <x:v>3500</x:v>
      </x:c>
      <x:c r="F201" s="27" t="n">
        <x:v>3500</x:v>
      </x:c>
      <x:c r="G201" s="30" t="n">
        <x:f>F201-E201</x:f>
        <x:v>0</x:v>
      </x:c>
      <x:c r="H201" s="31" t="n">
        <x:f>IFERROR(G201/E201,0)</x:f>
        <x:v>0</x:v>
      </x:c>
      <x:c r="I201" s="12" t="str"/>
    </x:row>
    <x:row r="202">
      <x:c r="A202" s="26" t="n">
        <x:v>46204</x:v>
      </x:c>
      <x:c r="B202" s="12" t="str">
        <x:v>Finance</x:v>
      </x:c>
      <x:c r="C202" s="12" t="str">
        <x:v>Payroll</x:v>
      </x:c>
      <x:c r="D202" s="12" t="str">
        <x:v>Operating Expense</x:v>
      </x:c>
      <x:c r="E202" s="27" t="n">
        <x:v>37800</x:v>
      </x:c>
      <x:c r="F202" s="27" t="n">
        <x:v>35400</x:v>
      </x:c>
      <x:c r="G202" s="30" t="n">
        <x:f>F202-E202</x:f>
        <x:v>-2400</x:v>
      </x:c>
      <x:c r="H202" s="31" t="n">
        <x:f>IFERROR(G202/E202,0)</x:f>
        <x:v>-0.06349206349206349</x:v>
      </x:c>
      <x:c r="I202" s="12" t="str"/>
    </x:row>
    <x:row r="203">
      <x:c r="A203" s="26" t="n">
        <x:v>46204</x:v>
      </x:c>
      <x:c r="B203" s="12" t="str">
        <x:v>Finance</x:v>
      </x:c>
      <x:c r="C203" s="12" t="str">
        <x:v>Marketing Spend</x:v>
      </x:c>
      <x:c r="D203" s="12" t="str">
        <x:v>Operating Expense</x:v>
      </x:c>
      <x:c r="E203" s="27" t="n">
        <x:v>1000</x:v>
      </x:c>
      <x:c r="F203" s="27" t="n">
        <x:v>1100</x:v>
      </x:c>
      <x:c r="G203" s="30" t="n">
        <x:f>F203-E203</x:f>
        <x:v>100</x:v>
      </x:c>
      <x:c r="H203" s="31" t="n">
        <x:f>IFERROR(G203/E203,0)</x:f>
        <x:v>0.1</x:v>
      </x:c>
      <x:c r="I203" s="12" t="str"/>
    </x:row>
    <x:row r="204">
      <x:c r="A204" s="26" t="n">
        <x:v>46204</x:v>
      </x:c>
      <x:c r="B204" s="12" t="str">
        <x:v>Finance</x:v>
      </x:c>
      <x:c r="C204" s="12" t="str">
        <x:v>Rent &amp; Utilities</x:v>
      </x:c>
      <x:c r="D204" s="12" t="str">
        <x:v>Operating Expense</x:v>
      </x:c>
      <x:c r="E204" s="27" t="n">
        <x:v>7200</x:v>
      </x:c>
      <x:c r="F204" s="27" t="n">
        <x:v>6700</x:v>
      </x:c>
      <x:c r="G204" s="30" t="n">
        <x:f>F204-E204</x:f>
        <x:v>-500</x:v>
      </x:c>
      <x:c r="H204" s="31" t="n">
        <x:f>IFERROR(G204/E204,0)</x:f>
        <x:v>-0.06944444444444445</x:v>
      </x:c>
      <x:c r="I204" s="12" t="str"/>
    </x:row>
    <x:row r="205">
      <x:c r="A205" s="26" t="n">
        <x:v>46204</x:v>
      </x:c>
      <x:c r="B205" s="12" t="str">
        <x:v>Finance</x:v>
      </x:c>
      <x:c r="C205" s="12" t="str">
        <x:v>Software &amp; IT</x:v>
      </x:c>
      <x:c r="D205" s="12" t="str">
        <x:v>Operating Expense</x:v>
      </x:c>
      <x:c r="E205" s="27" t="n">
        <x:v>10600</x:v>
      </x:c>
      <x:c r="F205" s="27" t="n">
        <x:v>10800</x:v>
      </x:c>
      <x:c r="G205" s="30" t="n">
        <x:f>F205-E205</x:f>
        <x:v>200</x:v>
      </x:c>
      <x:c r="H205" s="31" t="n">
        <x:f>IFERROR(G205/E205,0)</x:f>
        <x:v>0.018867924528301886</x:v>
      </x:c>
      <x:c r="I205" s="12" t="str"/>
    </x:row>
    <x:row r="206">
      <x:c r="A206" s="26" t="n">
        <x:v>46204</x:v>
      </x:c>
      <x:c r="B206" s="12" t="str">
        <x:v>HR</x:v>
      </x:c>
      <x:c r="C206" s="12" t="str">
        <x:v>Product Revenue</x:v>
      </x:c>
      <x:c r="D206" s="12" t="str">
        <x:v>Revenue</x:v>
      </x:c>
      <x:c r="E206" s="27" t="n">
        <x:v>5100</x:v>
      </x:c>
      <x:c r="F206" s="27" t="n">
        <x:v>5000</x:v>
      </x:c>
      <x:c r="G206" s="30" t="n">
        <x:f>F206-E206</x:f>
        <x:v>-100</x:v>
      </x:c>
      <x:c r="H206" s="31" t="n">
        <x:f>IFERROR(G206/E206,0)</x:f>
        <x:v>-0.0196078431372549</x:v>
      </x:c>
      <x:c r="I206" s="12" t="str"/>
    </x:row>
    <x:row r="207">
      <x:c r="A207" s="26" t="n">
        <x:v>46204</x:v>
      </x:c>
      <x:c r="B207" s="12" t="str">
        <x:v>HR</x:v>
      </x:c>
      <x:c r="C207" s="12" t="str">
        <x:v>Service Revenue</x:v>
      </x:c>
      <x:c r="D207" s="12" t="str">
        <x:v>Revenue</x:v>
      </x:c>
      <x:c r="E207" s="27" t="n">
        <x:v>1800</x:v>
      </x:c>
      <x:c r="F207" s="27" t="n">
        <x:v>1900</x:v>
      </x:c>
      <x:c r="G207" s="30" t="n">
        <x:f>F207-E207</x:f>
        <x:v>100</x:v>
      </x:c>
      <x:c r="H207" s="31" t="n">
        <x:f>IFERROR(G207/E207,0)</x:f>
        <x:v>0.05555555555555555</x:v>
      </x:c>
      <x:c r="I207" s="12" t="str"/>
    </x:row>
    <x:row r="208">
      <x:c r="A208" s="26" t="n">
        <x:v>46204</x:v>
      </x:c>
      <x:c r="B208" s="12" t="str">
        <x:v>HR</x:v>
      </x:c>
      <x:c r="C208" s="12" t="str">
        <x:v>Payroll</x:v>
      </x:c>
      <x:c r="D208" s="12" t="str">
        <x:v>Operating Expense</x:v>
      </x:c>
      <x:c r="E208" s="27" t="n">
        <x:v>30400</x:v>
      </x:c>
      <x:c r="F208" s="27" t="n">
        <x:v>28600</x:v>
      </x:c>
      <x:c r="G208" s="30" t="n">
        <x:f>F208-E208</x:f>
        <x:v>-1800</x:v>
      </x:c>
      <x:c r="H208" s="31" t="n">
        <x:f>IFERROR(G208/E208,0)</x:f>
        <x:v>-0.05921052631578947</x:v>
      </x:c>
      <x:c r="I208" s="12" t="str"/>
    </x:row>
    <x:row r="209">
      <x:c r="A209" s="26" t="n">
        <x:v>46204</x:v>
      </x:c>
      <x:c r="B209" s="12" t="str">
        <x:v>HR</x:v>
      </x:c>
      <x:c r="C209" s="12" t="str">
        <x:v>Marketing Spend</x:v>
      </x:c>
      <x:c r="D209" s="12" t="str">
        <x:v>Operating Expense</x:v>
      </x:c>
      <x:c r="E209" s="27" t="n">
        <x:v>2000</x:v>
      </x:c>
      <x:c r="F209" s="27" t="n">
        <x:v>1800</x:v>
      </x:c>
      <x:c r="G209" s="30" t="n">
        <x:f>F209-E209</x:f>
        <x:v>-200</x:v>
      </x:c>
      <x:c r="H209" s="31" t="n">
        <x:f>IFERROR(G209/E209,0)</x:f>
        <x:v>-0.1</x:v>
      </x:c>
      <x:c r="I209" s="12" t="str"/>
    </x:row>
    <x:row r="210">
      <x:c r="A210" s="26" t="n">
        <x:v>46204</x:v>
      </x:c>
      <x:c r="B210" s="12" t="str">
        <x:v>HR</x:v>
      </x:c>
      <x:c r="C210" s="12" t="str">
        <x:v>Rent &amp; Utilities</x:v>
      </x:c>
      <x:c r="D210" s="12" t="str">
        <x:v>Operating Expense</x:v>
      </x:c>
      <x:c r="E210" s="27" t="n">
        <x:v>4900</x:v>
      </x:c>
      <x:c r="F210" s="27" t="n">
        <x:v>4900</x:v>
      </x:c>
      <x:c r="G210" s="30" t="n">
        <x:f>F210-E210</x:f>
        <x:v>0</x:v>
      </x:c>
      <x:c r="H210" s="31" t="n">
        <x:f>IFERROR(G210/E210,0)</x:f>
        <x:v>0</x:v>
      </x:c>
      <x:c r="I210" s="12" t="str"/>
    </x:row>
    <x:row r="211">
      <x:c r="A211" s="26" t="n">
        <x:v>46204</x:v>
      </x:c>
      <x:c r="B211" s="12" t="str">
        <x:v>HR</x:v>
      </x:c>
      <x:c r="C211" s="12" t="str">
        <x:v>Software &amp; IT</x:v>
      </x:c>
      <x:c r="D211" s="12" t="str">
        <x:v>Operating Expense</x:v>
      </x:c>
      <x:c r="E211" s="27" t="n">
        <x:v>5100</x:v>
      </x:c>
      <x:c r="F211" s="27" t="n">
        <x:v>4600</x:v>
      </x:c>
      <x:c r="G211" s="30" t="n">
        <x:f>F211-E211</x:f>
        <x:v>-500</x:v>
      </x:c>
      <x:c r="H211" s="31" t="n">
        <x:f>IFERROR(G211/E211,0)</x:f>
        <x:v>-0.09803921568627451</x:v>
      </x:c>
      <x:c r="I211" s="12" t="str"/>
    </x:row>
    <x:row r="212">
      <x:c r="A212" s="26" t="n">
        <x:v>46235</x:v>
      </x:c>
      <x:c r="B212" s="12" t="str">
        <x:v>Sales</x:v>
      </x:c>
      <x:c r="C212" s="12" t="str">
        <x:v>Product Revenue</x:v>
      </x:c>
      <x:c r="D212" s="12" t="str">
        <x:v>Revenue</x:v>
      </x:c>
      <x:c r="E212" s="27" t="n">
        <x:v>168000</x:v>
      </x:c>
      <x:c r="F212" s="27" t="n">
        <x:v>174500</x:v>
      </x:c>
      <x:c r="G212" s="30" t="n">
        <x:f>F212-E212</x:f>
        <x:v>6500</x:v>
      </x:c>
      <x:c r="H212" s="31" t="n">
        <x:f>IFERROR(G212/E212,0)</x:f>
        <x:v>0.03869047619047619</x:v>
      </x:c>
      <x:c r="I212" s="12" t="str"/>
    </x:row>
    <x:row r="213">
      <x:c r="A213" s="26" t="n">
        <x:v>46235</x:v>
      </x:c>
      <x:c r="B213" s="12" t="str">
        <x:v>Sales</x:v>
      </x:c>
      <x:c r="C213" s="12" t="str">
        <x:v>Service Revenue</x:v>
      </x:c>
      <x:c r="D213" s="12" t="str">
        <x:v>Revenue</x:v>
      </x:c>
      <x:c r="E213" s="27" t="n">
        <x:v>57800</x:v>
      </x:c>
      <x:c r="F213" s="27" t="n">
        <x:v>60900</x:v>
      </x:c>
      <x:c r="G213" s="30" t="n">
        <x:f>F213-E213</x:f>
        <x:v>3100</x:v>
      </x:c>
      <x:c r="H213" s="31" t="n">
        <x:f>IFERROR(G213/E213,0)</x:f>
        <x:v>0.05363321799307959</x:v>
      </x:c>
      <x:c r="I213" s="12" t="str"/>
    </x:row>
    <x:row r="214">
      <x:c r="A214" s="26" t="n">
        <x:v>46235</x:v>
      </x:c>
      <x:c r="B214" s="12" t="str">
        <x:v>Sales</x:v>
      </x:c>
      <x:c r="C214" s="12" t="str">
        <x:v>Payroll</x:v>
      </x:c>
      <x:c r="D214" s="12" t="str">
        <x:v>Operating Expense</x:v>
      </x:c>
      <x:c r="E214" s="27" t="n">
        <x:v>52000</x:v>
      </x:c>
      <x:c r="F214" s="27" t="n">
        <x:v>49200</x:v>
      </x:c>
      <x:c r="G214" s="30" t="n">
        <x:f>F214-E214</x:f>
        <x:v>-2800</x:v>
      </x:c>
      <x:c r="H214" s="31" t="n">
        <x:f>IFERROR(G214/E214,0)</x:f>
        <x:v>-0.05384615384615385</x:v>
      </x:c>
      <x:c r="I214" s="12" t="str"/>
    </x:row>
    <x:row r="215">
      <x:c r="A215" s="26" t="n">
        <x:v>46235</x:v>
      </x:c>
      <x:c r="B215" s="12" t="str">
        <x:v>Sales</x:v>
      </x:c>
      <x:c r="C215" s="12" t="str">
        <x:v>Marketing Spend</x:v>
      </x:c>
      <x:c r="D215" s="12" t="str">
        <x:v>Operating Expense</x:v>
      </x:c>
      <x:c r="E215" s="27" t="n">
        <x:v>10100</x:v>
      </x:c>
      <x:c r="F215" s="27" t="n">
        <x:v>8900</x:v>
      </x:c>
      <x:c r="G215" s="30" t="n">
        <x:f>F215-E215</x:f>
        <x:v>-1200</x:v>
      </x:c>
      <x:c r="H215" s="31" t="n">
        <x:f>IFERROR(G215/E215,0)</x:f>
        <x:v>-0.1188118811881188</x:v>
      </x:c>
      <x:c r="I215" s="12" t="str"/>
    </x:row>
    <x:row r="216">
      <x:c r="A216" s="26" t="n">
        <x:v>46235</x:v>
      </x:c>
      <x:c r="B216" s="12" t="str">
        <x:v>Sales</x:v>
      </x:c>
      <x:c r="C216" s="12" t="str">
        <x:v>Rent &amp; Utilities</x:v>
      </x:c>
      <x:c r="D216" s="12" t="str">
        <x:v>Operating Expense</x:v>
      </x:c>
      <x:c r="E216" s="27" t="n">
        <x:v>8200</x:v>
      </x:c>
      <x:c r="F216" s="27" t="n">
        <x:v>8900</x:v>
      </x:c>
      <x:c r="G216" s="30" t="n">
        <x:f>F216-E216</x:f>
        <x:v>700</x:v>
      </x:c>
      <x:c r="H216" s="31" t="n">
        <x:f>IFERROR(G216/E216,0)</x:f>
        <x:v>0.08536585365853659</x:v>
      </x:c>
      <x:c r="I216" s="12" t="str"/>
    </x:row>
    <x:row r="217">
      <x:c r="A217" s="26" t="n">
        <x:v>46235</x:v>
      </x:c>
      <x:c r="B217" s="12" t="str">
        <x:v>Sales</x:v>
      </x:c>
      <x:c r="C217" s="12" t="str">
        <x:v>Software &amp; IT</x:v>
      </x:c>
      <x:c r="D217" s="12" t="str">
        <x:v>Operating Expense</x:v>
      </x:c>
      <x:c r="E217" s="27" t="n">
        <x:v>6800</x:v>
      </x:c>
      <x:c r="F217" s="27" t="n">
        <x:v>6800</x:v>
      </x:c>
      <x:c r="G217" s="30" t="n">
        <x:f>F217-E217</x:f>
        <x:v>0</x:v>
      </x:c>
      <x:c r="H217" s="31" t="n">
        <x:f>IFERROR(G217/E217,0)</x:f>
        <x:v>0</x:v>
      </x:c>
      <x:c r="I217" s="12" t="str"/>
    </x:row>
    <x:row r="218">
      <x:c r="A218" s="26" t="n">
        <x:v>46235</x:v>
      </x:c>
      <x:c r="B218" s="12" t="str">
        <x:v>Marketing</x:v>
      </x:c>
      <x:c r="C218" s="12" t="str">
        <x:v>Product Revenue</x:v>
      </x:c>
      <x:c r="D218" s="12" t="str">
        <x:v>Revenue</x:v>
      </x:c>
      <x:c r="E218" s="27" t="n">
        <x:v>27500</x:v>
      </x:c>
      <x:c r="F218" s="27" t="n">
        <x:v>30500</x:v>
      </x:c>
      <x:c r="G218" s="30" t="n">
        <x:f>F218-E218</x:f>
        <x:v>3000</x:v>
      </x:c>
      <x:c r="H218" s="31" t="n">
        <x:f>IFERROR(G218/E218,0)</x:f>
        <x:v>0.10909090909090909</x:v>
      </x:c>
      <x:c r="I218" s="12" t="str"/>
    </x:row>
    <x:row r="219">
      <x:c r="A219" s="26" t="n">
        <x:v>46235</x:v>
      </x:c>
      <x:c r="B219" s="12" t="str">
        <x:v>Marketing</x:v>
      </x:c>
      <x:c r="C219" s="12" t="str">
        <x:v>Service Revenue</x:v>
      </x:c>
      <x:c r="D219" s="12" t="str">
        <x:v>Revenue</x:v>
      </x:c>
      <x:c r="E219" s="27" t="n">
        <x:v>9900</x:v>
      </x:c>
      <x:c r="F219" s="27" t="n">
        <x:v>9000</x:v>
      </x:c>
      <x:c r="G219" s="30" t="n">
        <x:f>F219-E219</x:f>
        <x:v>-900</x:v>
      </x:c>
      <x:c r="H219" s="31" t="n">
        <x:f>IFERROR(G219/E219,0)</x:f>
        <x:v>-0.09090909090909091</x:v>
      </x:c>
      <x:c r="I219" s="12" t="str"/>
    </x:row>
    <x:row r="220">
      <x:c r="A220" s="26" t="n">
        <x:v>46235</x:v>
      </x:c>
      <x:c r="B220" s="12" t="str">
        <x:v>Marketing</x:v>
      </x:c>
      <x:c r="C220" s="12" t="str">
        <x:v>Payroll</x:v>
      </x:c>
      <x:c r="D220" s="12" t="str">
        <x:v>Operating Expense</x:v>
      </x:c>
      <x:c r="E220" s="27" t="n">
        <x:v>33300</x:v>
      </x:c>
      <x:c r="F220" s="27" t="n">
        <x:v>36900</x:v>
      </x:c>
      <x:c r="G220" s="30" t="n">
        <x:f>F220-E220</x:f>
        <x:v>3600</x:v>
      </x:c>
      <x:c r="H220" s="31" t="n">
        <x:f>IFERROR(G220/E220,0)</x:f>
        <x:v>0.10810810810810811</x:v>
      </x:c>
      <x:c r="I220" s="12" t="str"/>
    </x:row>
    <x:row r="221">
      <x:c r="A221" s="26" t="n">
        <x:v>46235</x:v>
      </x:c>
      <x:c r="B221" s="12" t="str">
        <x:v>Marketing</x:v>
      </x:c>
      <x:c r="C221" s="12" t="str">
        <x:v>Marketing Spend</x:v>
      </x:c>
      <x:c r="D221" s="12" t="str">
        <x:v>Operating Expense</x:v>
      </x:c>
      <x:c r="E221" s="27" t="n">
        <x:v>44800</x:v>
      </x:c>
      <x:c r="F221" s="27" t="n">
        <x:v>49100</x:v>
      </x:c>
      <x:c r="G221" s="30" t="n">
        <x:f>F221-E221</x:f>
        <x:v>4300</x:v>
      </x:c>
      <x:c r="H221" s="31" t="n">
        <x:f>IFERROR(G221/E221,0)</x:f>
        <x:v>0.09598214285714286</x:v>
      </x:c>
      <x:c r="I221" s="12" t="str"/>
    </x:row>
    <x:row r="222">
      <x:c r="A222" s="26" t="n">
        <x:v>46235</x:v>
      </x:c>
      <x:c r="B222" s="12" t="str">
        <x:v>Marketing</x:v>
      </x:c>
      <x:c r="C222" s="12" t="str">
        <x:v>Rent &amp; Utilities</x:v>
      </x:c>
      <x:c r="D222" s="12" t="str">
        <x:v>Operating Expense</x:v>
      </x:c>
      <x:c r="E222" s="27" t="n">
        <x:v>6100</x:v>
      </x:c>
      <x:c r="F222" s="27" t="n">
        <x:v>7000</x:v>
      </x:c>
      <x:c r="G222" s="30" t="n">
        <x:f>F222-E222</x:f>
        <x:v>900</x:v>
      </x:c>
      <x:c r="H222" s="31" t="n">
        <x:f>IFERROR(G222/E222,0)</x:f>
        <x:v>0.14754098360655737</x:v>
      </x:c>
      <x:c r="I222" s="12" t="str"/>
    </x:row>
    <x:row r="223">
      <x:c r="A223" s="26" t="n">
        <x:v>46235</x:v>
      </x:c>
      <x:c r="B223" s="12" t="str">
        <x:v>Marketing</x:v>
      </x:c>
      <x:c r="C223" s="12" t="str">
        <x:v>Software &amp; IT</x:v>
      </x:c>
      <x:c r="D223" s="12" t="str">
        <x:v>Operating Expense</x:v>
      </x:c>
      <x:c r="E223" s="27" t="n">
        <x:v>9100</x:v>
      </x:c>
      <x:c r="F223" s="27" t="n">
        <x:v>10300</x:v>
      </x:c>
      <x:c r="G223" s="30" t="n">
        <x:f>F223-E223</x:f>
        <x:v>1200</x:v>
      </x:c>
      <x:c r="H223" s="31" t="n">
        <x:f>IFERROR(G223/E223,0)</x:f>
        <x:v>0.13186813186813187</x:v>
      </x:c>
      <x:c r="I223" s="12" t="str"/>
    </x:row>
    <x:row r="224">
      <x:c r="A224" s="26" t="n">
        <x:v>46235</x:v>
      </x:c>
      <x:c r="B224" s="12" t="str">
        <x:v>Operations</x:v>
      </x:c>
      <x:c r="C224" s="12" t="str">
        <x:v>Product Revenue</x:v>
      </x:c>
      <x:c r="D224" s="12" t="str">
        <x:v>Revenue</x:v>
      </x:c>
      <x:c r="E224" s="27" t="n">
        <x:v>19400</x:v>
      </x:c>
      <x:c r="F224" s="27" t="n">
        <x:v>20100</x:v>
      </x:c>
      <x:c r="G224" s="30" t="n">
        <x:f>F224-E224</x:f>
        <x:v>700</x:v>
      </x:c>
      <x:c r="H224" s="31" t="n">
        <x:f>IFERROR(G224/E224,0)</x:f>
        <x:v>0.03608247422680412</x:v>
      </x:c>
      <x:c r="I224" s="12" t="str"/>
    </x:row>
    <x:row r="225">
      <x:c r="A225" s="26" t="n">
        <x:v>46235</x:v>
      </x:c>
      <x:c r="B225" s="12" t="str">
        <x:v>Operations</x:v>
      </x:c>
      <x:c r="C225" s="12" t="str">
        <x:v>Service Revenue</x:v>
      </x:c>
      <x:c r="D225" s="12" t="str">
        <x:v>Revenue</x:v>
      </x:c>
      <x:c r="E225" s="27" t="n">
        <x:v>6700</x:v>
      </x:c>
      <x:c r="F225" s="27" t="n">
        <x:v>6800</x:v>
      </x:c>
      <x:c r="G225" s="30" t="n">
        <x:f>F225-E225</x:f>
        <x:v>100</x:v>
      </x:c>
      <x:c r="H225" s="31" t="n">
        <x:f>IFERROR(G225/E225,0)</x:f>
        <x:v>0.014925373134328358</x:v>
      </x:c>
      <x:c r="I225" s="12" t="str"/>
    </x:row>
    <x:row r="226">
      <x:c r="A226" s="26" t="n">
        <x:v>46235</x:v>
      </x:c>
      <x:c r="B226" s="12" t="str">
        <x:v>Operations</x:v>
      </x:c>
      <x:c r="C226" s="12" t="str">
        <x:v>Payroll</x:v>
      </x:c>
      <x:c r="D226" s="12" t="str">
        <x:v>Operating Expense</x:v>
      </x:c>
      <x:c r="E226" s="27" t="n">
        <x:v>61600</x:v>
      </x:c>
      <x:c r="F226" s="27" t="n">
        <x:v>63300</x:v>
      </x:c>
      <x:c r="G226" s="30" t="n">
        <x:f>F226-E226</x:f>
        <x:v>1700</x:v>
      </x:c>
      <x:c r="H226" s="31" t="n">
        <x:f>IFERROR(G226/E226,0)</x:f>
        <x:v>0.027597402597402596</x:v>
      </x:c>
      <x:c r="I226" s="12" t="str"/>
    </x:row>
    <x:row r="227">
      <x:c r="A227" s="26" t="n">
        <x:v>46235</x:v>
      </x:c>
      <x:c r="B227" s="12" t="str">
        <x:v>Operations</x:v>
      </x:c>
      <x:c r="C227" s="12" t="str">
        <x:v>Marketing Spend</x:v>
      </x:c>
      <x:c r="D227" s="12" t="str">
        <x:v>Operating Expense</x:v>
      </x:c>
      <x:c r="E227" s="27" t="n">
        <x:v>3100</x:v>
      </x:c>
      <x:c r="F227" s="27" t="n">
        <x:v>3400</x:v>
      </x:c>
      <x:c r="G227" s="30" t="n">
        <x:f>F227-E227</x:f>
        <x:v>300</x:v>
      </x:c>
      <x:c r="H227" s="31" t="n">
        <x:f>IFERROR(G227/E227,0)</x:f>
        <x:v>0.0967741935483871</x:v>
      </x:c>
      <x:c r="I227" s="12" t="str"/>
    </x:row>
    <x:row r="228">
      <x:c r="A228" s="26" t="n">
        <x:v>46235</x:v>
      </x:c>
      <x:c r="B228" s="12" t="str">
        <x:v>Operations</x:v>
      </x:c>
      <x:c r="C228" s="12" t="str">
        <x:v>Rent &amp; Utilities</x:v>
      </x:c>
      <x:c r="D228" s="12" t="str">
        <x:v>Operating Expense</x:v>
      </x:c>
      <x:c r="E228" s="27" t="n">
        <x:v>18000</x:v>
      </x:c>
      <x:c r="F228" s="27" t="n">
        <x:v>17100</x:v>
      </x:c>
      <x:c r="G228" s="30" t="n">
        <x:f>F228-E228</x:f>
        <x:v>-900</x:v>
      </x:c>
      <x:c r="H228" s="31" t="n">
        <x:f>IFERROR(G228/E228,0)</x:f>
        <x:v>-0.05</x:v>
      </x:c>
      <x:c r="I228" s="12" t="str"/>
    </x:row>
    <x:row r="229">
      <x:c r="A229" s="26" t="n">
        <x:v>46235</x:v>
      </x:c>
      <x:c r="B229" s="12" t="str">
        <x:v>Operations</x:v>
      </x:c>
      <x:c r="C229" s="12" t="str">
        <x:v>Software &amp; IT</x:v>
      </x:c>
      <x:c r="D229" s="12" t="str">
        <x:v>Operating Expense</x:v>
      </x:c>
      <x:c r="E229" s="27" t="n">
        <x:v>11800</x:v>
      </x:c>
      <x:c r="F229" s="27" t="n">
        <x:v>12400</x:v>
      </x:c>
      <x:c r="G229" s="30" t="n">
        <x:f>F229-E229</x:f>
        <x:v>600</x:v>
      </x:c>
      <x:c r="H229" s="31" t="n">
        <x:f>IFERROR(G229/E229,0)</x:f>
        <x:v>0.05084745762711865</x:v>
      </x:c>
      <x:c r="I229" s="12" t="str"/>
    </x:row>
    <x:row r="230">
      <x:c r="A230" s="26" t="n">
        <x:v>46235</x:v>
      </x:c>
      <x:c r="B230" s="12" t="str">
        <x:v>Finance</x:v>
      </x:c>
      <x:c r="C230" s="12" t="str">
        <x:v>Product Revenue</x:v>
      </x:c>
      <x:c r="D230" s="12" t="str">
        <x:v>Revenue</x:v>
      </x:c>
      <x:c r="E230" s="27" t="n">
        <x:v>9600</x:v>
      </x:c>
      <x:c r="F230" s="27" t="n">
        <x:v>9700</x:v>
      </x:c>
      <x:c r="G230" s="30" t="n">
        <x:f>F230-E230</x:f>
        <x:v>100</x:v>
      </x:c>
      <x:c r="H230" s="31" t="n">
        <x:f>IFERROR(G230/E230,0)</x:f>
        <x:v>0.010416666666666666</x:v>
      </x:c>
      <x:c r="I230" s="12" t="str"/>
    </x:row>
    <x:row r="231">
      <x:c r="A231" s="26" t="n">
        <x:v>46235</x:v>
      </x:c>
      <x:c r="B231" s="12" t="str">
        <x:v>Finance</x:v>
      </x:c>
      <x:c r="C231" s="12" t="str">
        <x:v>Service Revenue</x:v>
      </x:c>
      <x:c r="D231" s="12" t="str">
        <x:v>Revenue</x:v>
      </x:c>
      <x:c r="E231" s="27" t="n">
        <x:v>3300</x:v>
      </x:c>
      <x:c r="F231" s="27" t="n">
        <x:v>3200</x:v>
      </x:c>
      <x:c r="G231" s="30" t="n">
        <x:f>F231-E231</x:f>
        <x:v>-100</x:v>
      </x:c>
      <x:c r="H231" s="31" t="n">
        <x:f>IFERROR(G231/E231,0)</x:f>
        <x:v>-0.030303030303030304</x:v>
      </x:c>
      <x:c r="I231" s="12" t="str"/>
    </x:row>
    <x:row r="232">
      <x:c r="A232" s="26" t="n">
        <x:v>46235</x:v>
      </x:c>
      <x:c r="B232" s="12" t="str">
        <x:v>Finance</x:v>
      </x:c>
      <x:c r="C232" s="12" t="str">
        <x:v>Payroll</x:v>
      </x:c>
      <x:c r="D232" s="12" t="str">
        <x:v>Operating Expense</x:v>
      </x:c>
      <x:c r="E232" s="27" t="n">
        <x:v>36700</x:v>
      </x:c>
      <x:c r="F232" s="27" t="n">
        <x:v>35100</x:v>
      </x:c>
      <x:c r="G232" s="30" t="n">
        <x:f>F232-E232</x:f>
        <x:v>-1600</x:v>
      </x:c>
      <x:c r="H232" s="31" t="n">
        <x:f>IFERROR(G232/E232,0)</x:f>
        <x:v>-0.043596730245231606</x:v>
      </x:c>
      <x:c r="I232" s="12" t="str"/>
    </x:row>
    <x:row r="233">
      <x:c r="A233" s="26" t="n">
        <x:v>46235</x:v>
      </x:c>
      <x:c r="B233" s="12" t="str">
        <x:v>Finance</x:v>
      </x:c>
      <x:c r="C233" s="12" t="str">
        <x:v>Marketing Spend</x:v>
      </x:c>
      <x:c r="D233" s="12" t="str">
        <x:v>Operating Expense</x:v>
      </x:c>
      <x:c r="E233" s="27" t="n">
        <x:v>1000</x:v>
      </x:c>
      <x:c r="F233" s="27" t="n">
        <x:v>1000</x:v>
      </x:c>
      <x:c r="G233" s="30" t="n">
        <x:f>F233-E233</x:f>
        <x:v>0</x:v>
      </x:c>
      <x:c r="H233" s="31" t="n">
        <x:f>IFERROR(G233/E233,0)</x:f>
        <x:v>0</x:v>
      </x:c>
      <x:c r="I233" s="12" t="str"/>
    </x:row>
    <x:row r="234">
      <x:c r="A234" s="26" t="n">
        <x:v>46235</x:v>
      </x:c>
      <x:c r="B234" s="12" t="str">
        <x:v>Finance</x:v>
      </x:c>
      <x:c r="C234" s="12" t="str">
        <x:v>Rent &amp; Utilities</x:v>
      </x:c>
      <x:c r="D234" s="12" t="str">
        <x:v>Operating Expense</x:v>
      </x:c>
      <x:c r="E234" s="27" t="n">
        <x:v>7000</x:v>
      </x:c>
      <x:c r="F234" s="27" t="n">
        <x:v>6400</x:v>
      </x:c>
      <x:c r="G234" s="30" t="n">
        <x:f>F234-E234</x:f>
        <x:v>-600</x:v>
      </x:c>
      <x:c r="H234" s="31" t="n">
        <x:f>IFERROR(G234/E234,0)</x:f>
        <x:v>-0.08571428571428572</x:v>
      </x:c>
      <x:c r="I234" s="12" t="str"/>
    </x:row>
    <x:row r="235">
      <x:c r="A235" s="26" t="n">
        <x:v>46235</x:v>
      </x:c>
      <x:c r="B235" s="12" t="str">
        <x:v>Finance</x:v>
      </x:c>
      <x:c r="C235" s="12" t="str">
        <x:v>Software &amp; IT</x:v>
      </x:c>
      <x:c r="D235" s="12" t="str">
        <x:v>Operating Expense</x:v>
      </x:c>
      <x:c r="E235" s="27" t="n">
        <x:v>10800</x:v>
      </x:c>
      <x:c r="F235" s="27" t="n">
        <x:v>11500</x:v>
      </x:c>
      <x:c r="G235" s="30" t="n">
        <x:f>F235-E235</x:f>
        <x:v>700</x:v>
      </x:c>
      <x:c r="H235" s="31" t="n">
        <x:f>IFERROR(G235/E235,0)</x:f>
        <x:v>0.06481481481481481</x:v>
      </x:c>
      <x:c r="I235" s="12" t="str"/>
    </x:row>
    <x:row r="236">
      <x:c r="A236" s="26" t="n">
        <x:v>46235</x:v>
      </x:c>
      <x:c r="B236" s="12" t="str">
        <x:v>HR</x:v>
      </x:c>
      <x:c r="C236" s="12" t="str">
        <x:v>Product Revenue</x:v>
      </x:c>
      <x:c r="D236" s="12" t="str">
        <x:v>Revenue</x:v>
      </x:c>
      <x:c r="E236" s="27" t="n">
        <x:v>4800</x:v>
      </x:c>
      <x:c r="F236" s="27" t="n">
        <x:v>4400</x:v>
      </x:c>
      <x:c r="G236" s="30" t="n">
        <x:f>F236-E236</x:f>
        <x:v>-400</x:v>
      </x:c>
      <x:c r="H236" s="31" t="n">
        <x:f>IFERROR(G236/E236,0)</x:f>
        <x:v>-0.08333333333333333</x:v>
      </x:c>
      <x:c r="I236" s="12" t="str"/>
    </x:row>
    <x:row r="237">
      <x:c r="A237" s="26" t="n">
        <x:v>46235</x:v>
      </x:c>
      <x:c r="B237" s="12" t="str">
        <x:v>HR</x:v>
      </x:c>
      <x:c r="C237" s="12" t="str">
        <x:v>Service Revenue</x:v>
      </x:c>
      <x:c r="D237" s="12" t="str">
        <x:v>Revenue</x:v>
      </x:c>
      <x:c r="E237" s="27" t="n">
        <x:v>1600</x:v>
      </x:c>
      <x:c r="F237" s="27" t="n">
        <x:v>1600</x:v>
      </x:c>
      <x:c r="G237" s="30" t="n">
        <x:f>F237-E237</x:f>
        <x:v>0</x:v>
      </x:c>
      <x:c r="H237" s="31" t="n">
        <x:f>IFERROR(G237/E237,0)</x:f>
        <x:v>0</x:v>
      </x:c>
      <x:c r="I237" s="12" t="str"/>
    </x:row>
    <x:row r="238">
      <x:c r="A238" s="26" t="n">
        <x:v>46235</x:v>
      </x:c>
      <x:c r="B238" s="12" t="str">
        <x:v>HR</x:v>
      </x:c>
      <x:c r="C238" s="12" t="str">
        <x:v>Payroll</x:v>
      </x:c>
      <x:c r="D238" s="12" t="str">
        <x:v>Operating Expense</x:v>
      </x:c>
      <x:c r="E238" s="27" t="n">
        <x:v>29800</x:v>
      </x:c>
      <x:c r="F238" s="27" t="n">
        <x:v>27900</x:v>
      </x:c>
      <x:c r="G238" s="30" t="n">
        <x:f>F238-E238</x:f>
        <x:v>-1900</x:v>
      </x:c>
      <x:c r="H238" s="31" t="n">
        <x:f>IFERROR(G238/E238,0)</x:f>
        <x:v>-0.06375838926174497</x:v>
      </x:c>
      <x:c r="I238" s="12" t="str"/>
    </x:row>
    <x:row r="239">
      <x:c r="A239" s="26" t="n">
        <x:v>46235</x:v>
      </x:c>
      <x:c r="B239" s="12" t="str">
        <x:v>HR</x:v>
      </x:c>
      <x:c r="C239" s="12" t="str">
        <x:v>Marketing Spend</x:v>
      </x:c>
      <x:c r="D239" s="12" t="str">
        <x:v>Operating Expense</x:v>
      </x:c>
      <x:c r="E239" s="27" t="n">
        <x:v>2000</x:v>
      </x:c>
      <x:c r="F239" s="27" t="n">
        <x:v>2200</x:v>
      </x:c>
      <x:c r="G239" s="30" t="n">
        <x:f>F239-E239</x:f>
        <x:v>200</x:v>
      </x:c>
      <x:c r="H239" s="31" t="n">
        <x:f>IFERROR(G239/E239,0)</x:f>
        <x:v>0.1</x:v>
      </x:c>
      <x:c r="I239" s="12" t="str"/>
    </x:row>
    <x:row r="240">
      <x:c r="A240" s="26" t="n">
        <x:v>46235</x:v>
      </x:c>
      <x:c r="B240" s="12" t="str">
        <x:v>HR</x:v>
      </x:c>
      <x:c r="C240" s="12" t="str">
        <x:v>Rent &amp; Utilities</x:v>
      </x:c>
      <x:c r="D240" s="12" t="str">
        <x:v>Operating Expense</x:v>
      </x:c>
      <x:c r="E240" s="27" t="n">
        <x:v>5000</x:v>
      </x:c>
      <x:c r="F240" s="27" t="n">
        <x:v>5300</x:v>
      </x:c>
      <x:c r="G240" s="30" t="n">
        <x:f>F240-E240</x:f>
        <x:v>300</x:v>
      </x:c>
      <x:c r="H240" s="31" t="n">
        <x:f>IFERROR(G240/E240,0)</x:f>
        <x:v>0.06</x:v>
      </x:c>
      <x:c r="I240" s="12" t="str"/>
    </x:row>
    <x:row r="241">
      <x:c r="A241" s="26" t="n">
        <x:v>46235</x:v>
      </x:c>
      <x:c r="B241" s="12" t="str">
        <x:v>HR</x:v>
      </x:c>
      <x:c r="C241" s="12" t="str">
        <x:v>Software &amp; IT</x:v>
      </x:c>
      <x:c r="D241" s="12" t="str">
        <x:v>Operating Expense</x:v>
      </x:c>
      <x:c r="E241" s="27" t="n">
        <x:v>5100</x:v>
      </x:c>
      <x:c r="F241" s="27" t="n">
        <x:v>5500</x:v>
      </x:c>
      <x:c r="G241" s="30" t="n">
        <x:f>F241-E241</x:f>
        <x:v>400</x:v>
      </x:c>
      <x:c r="H241" s="31" t="n">
        <x:f>IFERROR(G241/E241,0)</x:f>
        <x:v>0.0784313725490196</x:v>
      </x:c>
      <x:c r="I241" s="12" t="str"/>
    </x:row>
    <x:row r="242">
      <x:c r="A242" s="26" t="n">
        <x:v>46266</x:v>
      </x:c>
      <x:c r="B242" s="12" t="str">
        <x:v>Sales</x:v>
      </x:c>
      <x:c r="C242" s="12" t="str">
        <x:v>Product Revenue</x:v>
      </x:c>
      <x:c r="D242" s="12" t="str">
        <x:v>Revenue</x:v>
      </x:c>
      <x:c r="E242" s="27" t="n">
        <x:v>159800</x:v>
      </x:c>
      <x:c r="F242" s="27" t="n">
        <x:v>144000</x:v>
      </x:c>
      <x:c r="G242" s="30" t="n">
        <x:f>F242-E242</x:f>
        <x:v>-15800</x:v>
      </x:c>
      <x:c r="H242" s="31" t="n">
        <x:f>IFERROR(G242/E242,0)</x:f>
        <x:v>-0.09887359198998748</x:v>
      </x:c>
      <x:c r="I242" s="12" t="str"/>
    </x:row>
    <x:row r="243">
      <x:c r="A243" s="26" t="n">
        <x:v>46266</x:v>
      </x:c>
      <x:c r="B243" s="12" t="str">
        <x:v>Sales</x:v>
      </x:c>
      <x:c r="C243" s="12" t="str">
        <x:v>Service Revenue</x:v>
      </x:c>
      <x:c r="D243" s="12" t="str">
        <x:v>Revenue</x:v>
      </x:c>
      <x:c r="E243" s="27" t="n">
        <x:v>55800</x:v>
      </x:c>
      <x:c r="F243" s="27" t="n">
        <x:v>59500</x:v>
      </x:c>
      <x:c r="G243" s="30" t="n">
        <x:f>F243-E243</x:f>
        <x:v>3700</x:v>
      </x:c>
      <x:c r="H243" s="31" t="n">
        <x:f>IFERROR(G243/E243,0)</x:f>
        <x:v>0.06630824372759857</x:v>
      </x:c>
      <x:c r="I243" s="12" t="str"/>
    </x:row>
    <x:row r="244">
      <x:c r="A244" s="26" t="n">
        <x:v>46266</x:v>
      </x:c>
      <x:c r="B244" s="12" t="str">
        <x:v>Sales</x:v>
      </x:c>
      <x:c r="C244" s="12" t="str">
        <x:v>Payroll</x:v>
      </x:c>
      <x:c r="D244" s="12" t="str">
        <x:v>Operating Expense</x:v>
      </x:c>
      <x:c r="E244" s="27" t="n">
        <x:v>53500</x:v>
      </x:c>
      <x:c r="F244" s="27" t="n">
        <x:v>60900</x:v>
      </x:c>
      <x:c r="G244" s="30" t="n">
        <x:f>F244-E244</x:f>
        <x:v>7400</x:v>
      </x:c>
      <x:c r="H244" s="31" t="n">
        <x:f>IFERROR(G244/E244,0)</x:f>
        <x:v>0.1383177570093458</x:v>
      </x:c>
      <x:c r="I244" s="12" t="str"/>
    </x:row>
    <x:row r="245">
      <x:c r="A245" s="26" t="n">
        <x:v>46266</x:v>
      </x:c>
      <x:c r="B245" s="12" t="str">
        <x:v>Sales</x:v>
      </x:c>
      <x:c r="C245" s="12" t="str">
        <x:v>Marketing Spend</x:v>
      </x:c>
      <x:c r="D245" s="12" t="str">
        <x:v>Operating Expense</x:v>
      </x:c>
      <x:c r="E245" s="27" t="n">
        <x:v>9900</x:v>
      </x:c>
      <x:c r="F245" s="27" t="n">
        <x:v>10700</x:v>
      </x:c>
      <x:c r="G245" s="30" t="n">
        <x:f>F245-E245</x:f>
        <x:v>800</x:v>
      </x:c>
      <x:c r="H245" s="31" t="n">
        <x:f>IFERROR(G245/E245,0)</x:f>
        <x:v>0.08080808080808081</x:v>
      </x:c>
      <x:c r="I245" s="12" t="str"/>
    </x:row>
    <x:row r="246">
      <x:c r="A246" s="26" t="n">
        <x:v>46266</x:v>
      </x:c>
      <x:c r="B246" s="12" t="str">
        <x:v>Sales</x:v>
      </x:c>
      <x:c r="C246" s="12" t="str">
        <x:v>Rent &amp; Utilities</x:v>
      </x:c>
      <x:c r="D246" s="12" t="str">
        <x:v>Operating Expense</x:v>
      </x:c>
      <x:c r="E246" s="27" t="n">
        <x:v>8000</x:v>
      </x:c>
      <x:c r="F246" s="27" t="n">
        <x:v>8300</x:v>
      </x:c>
      <x:c r="G246" s="30" t="n">
        <x:f>F246-E246</x:f>
        <x:v>300</x:v>
      </x:c>
      <x:c r="H246" s="31" t="n">
        <x:f>IFERROR(G246/E246,0)</x:f>
        <x:v>0.0375</x:v>
      </x:c>
      <x:c r="I246" s="12" t="str"/>
    </x:row>
    <x:row r="247">
      <x:c r="A247" s="26" t="n">
        <x:v>46266</x:v>
      </x:c>
      <x:c r="B247" s="12" t="str">
        <x:v>Sales</x:v>
      </x:c>
      <x:c r="C247" s="12" t="str">
        <x:v>Software &amp; IT</x:v>
      </x:c>
      <x:c r="D247" s="12" t="str">
        <x:v>Operating Expense</x:v>
      </x:c>
      <x:c r="E247" s="27" t="n">
        <x:v>6800</x:v>
      </x:c>
      <x:c r="F247" s="27" t="n">
        <x:v>6400</x:v>
      </x:c>
      <x:c r="G247" s="30" t="n">
        <x:f>F247-E247</x:f>
        <x:v>-400</x:v>
      </x:c>
      <x:c r="H247" s="31" t="n">
        <x:f>IFERROR(G247/E247,0)</x:f>
        <x:v>-0.058823529411764705</x:v>
      </x:c>
      <x:c r="I247" s="12" t="str"/>
    </x:row>
    <x:row r="248">
      <x:c r="A248" s="26" t="n">
        <x:v>46266</x:v>
      </x:c>
      <x:c r="B248" s="12" t="str">
        <x:v>Marketing</x:v>
      </x:c>
      <x:c r="C248" s="12" t="str">
        <x:v>Product Revenue</x:v>
      </x:c>
      <x:c r="D248" s="12" t="str">
        <x:v>Revenue</x:v>
      </x:c>
      <x:c r="E248" s="27" t="n">
        <x:v>26700</x:v>
      </x:c>
      <x:c r="F248" s="27" t="n">
        <x:v>24200</x:v>
      </x:c>
      <x:c r="G248" s="30" t="n">
        <x:f>F248-E248</x:f>
        <x:v>-2500</x:v>
      </x:c>
      <x:c r="H248" s="31" t="n">
        <x:f>IFERROR(G248/E248,0)</x:f>
        <x:v>-0.09363295880149813</x:v>
      </x:c>
      <x:c r="I248" s="12" t="str"/>
    </x:row>
    <x:row r="249">
      <x:c r="A249" s="26" t="n">
        <x:v>46266</x:v>
      </x:c>
      <x:c r="B249" s="12" t="str">
        <x:v>Marketing</x:v>
      </x:c>
      <x:c r="C249" s="12" t="str">
        <x:v>Service Revenue</x:v>
      </x:c>
      <x:c r="D249" s="12" t="str">
        <x:v>Revenue</x:v>
      </x:c>
      <x:c r="E249" s="27" t="n">
        <x:v>9300</x:v>
      </x:c>
      <x:c r="F249" s="27" t="n">
        <x:v>9800</x:v>
      </x:c>
      <x:c r="G249" s="30" t="n">
        <x:f>F249-E249</x:f>
        <x:v>500</x:v>
      </x:c>
      <x:c r="H249" s="31" t="n">
        <x:f>IFERROR(G249/E249,0)</x:f>
        <x:v>0.053763440860215055</x:v>
      </x:c>
      <x:c r="I249" s="12" t="str"/>
    </x:row>
    <x:row r="250">
      <x:c r="A250" s="26" t="n">
        <x:v>46266</x:v>
      </x:c>
      <x:c r="B250" s="12" t="str">
        <x:v>Marketing</x:v>
      </x:c>
      <x:c r="C250" s="12" t="str">
        <x:v>Payroll</x:v>
      </x:c>
      <x:c r="D250" s="12" t="str">
        <x:v>Operating Expense</x:v>
      </x:c>
      <x:c r="E250" s="27" t="n">
        <x:v>33700</x:v>
      </x:c>
      <x:c r="F250" s="27" t="n">
        <x:v>31200</x:v>
      </x:c>
      <x:c r="G250" s="30" t="n">
        <x:f>F250-E250</x:f>
        <x:v>-2500</x:v>
      </x:c>
      <x:c r="H250" s="31" t="n">
        <x:f>IFERROR(G250/E250,0)</x:f>
        <x:v>-0.07418397626112759</x:v>
      </x:c>
      <x:c r="I250" s="12" t="str"/>
    </x:row>
    <x:row r="251">
      <x:c r="A251" s="26" t="n">
        <x:v>46266</x:v>
      </x:c>
      <x:c r="B251" s="12" t="str">
        <x:v>Marketing</x:v>
      </x:c>
      <x:c r="C251" s="12" t="str">
        <x:v>Marketing Spend</x:v>
      </x:c>
      <x:c r="D251" s="12" t="str">
        <x:v>Operating Expense</x:v>
      </x:c>
      <x:c r="E251" s="27" t="n">
        <x:v>44900</x:v>
      </x:c>
      <x:c r="F251" s="27" t="n">
        <x:v>41100</x:v>
      </x:c>
      <x:c r="G251" s="30" t="n">
        <x:f>F251-E251</x:f>
        <x:v>-3800</x:v>
      </x:c>
      <x:c r="H251" s="31" t="n">
        <x:f>IFERROR(G251/E251,0)</x:f>
        <x:v>-0.08463251670378619</x:v>
      </x:c>
      <x:c r="I251" s="12" t="str"/>
    </x:row>
    <x:row r="252">
      <x:c r="A252" s="26" t="n">
        <x:v>46266</x:v>
      </x:c>
      <x:c r="B252" s="12" t="str">
        <x:v>Marketing</x:v>
      </x:c>
      <x:c r="C252" s="12" t="str">
        <x:v>Rent &amp; Utilities</x:v>
      </x:c>
      <x:c r="D252" s="12" t="str">
        <x:v>Operating Expense</x:v>
      </x:c>
      <x:c r="E252" s="27" t="n">
        <x:v>6100</x:v>
      </x:c>
      <x:c r="F252" s="27" t="n">
        <x:v>5400</x:v>
      </x:c>
      <x:c r="G252" s="30" t="n">
        <x:f>F252-E252</x:f>
        <x:v>-700</x:v>
      </x:c>
      <x:c r="H252" s="31" t="n">
        <x:f>IFERROR(G252/E252,0)</x:f>
        <x:v>-0.11475409836065574</x:v>
      </x:c>
      <x:c r="I252" s="12" t="str"/>
    </x:row>
    <x:row r="253">
      <x:c r="A253" s="26" t="n">
        <x:v>46266</x:v>
      </x:c>
      <x:c r="B253" s="12" t="str">
        <x:v>Marketing</x:v>
      </x:c>
      <x:c r="C253" s="12" t="str">
        <x:v>Software &amp; IT</x:v>
      </x:c>
      <x:c r="D253" s="12" t="str">
        <x:v>Operating Expense</x:v>
      </x:c>
      <x:c r="E253" s="27" t="n">
        <x:v>8900</x:v>
      </x:c>
      <x:c r="F253" s="27" t="n">
        <x:v>9200</x:v>
      </x:c>
      <x:c r="G253" s="30" t="n">
        <x:f>F253-E253</x:f>
        <x:v>300</x:v>
      </x:c>
      <x:c r="H253" s="31" t="n">
        <x:f>IFERROR(G253/E253,0)</x:f>
        <x:v>0.033707865168539325</x:v>
      </x:c>
      <x:c r="I253" s="12" t="str"/>
    </x:row>
    <x:row r="254">
      <x:c r="A254" s="26" t="n">
        <x:v>46266</x:v>
      </x:c>
      <x:c r="B254" s="12" t="str">
        <x:v>Operations</x:v>
      </x:c>
      <x:c r="C254" s="12" t="str">
        <x:v>Product Revenue</x:v>
      </x:c>
      <x:c r="D254" s="12" t="str">
        <x:v>Revenue</x:v>
      </x:c>
      <x:c r="E254" s="27" t="n">
        <x:v>17200</x:v>
      </x:c>
      <x:c r="F254" s="27" t="n">
        <x:v>17900</x:v>
      </x:c>
      <x:c r="G254" s="30" t="n">
        <x:f>F254-E254</x:f>
        <x:v>700</x:v>
      </x:c>
      <x:c r="H254" s="31" t="n">
        <x:f>IFERROR(G254/E254,0)</x:f>
        <x:v>0.040697674418604654</x:v>
      </x:c>
      <x:c r="I254" s="12" t="str"/>
    </x:row>
    <x:row r="255">
      <x:c r="A255" s="26" t="n">
        <x:v>46266</x:v>
      </x:c>
      <x:c r="B255" s="12" t="str">
        <x:v>Operations</x:v>
      </x:c>
      <x:c r="C255" s="12" t="str">
        <x:v>Service Revenue</x:v>
      </x:c>
      <x:c r="D255" s="12" t="str">
        <x:v>Revenue</x:v>
      </x:c>
      <x:c r="E255" s="27" t="n">
        <x:v>6100</x:v>
      </x:c>
      <x:c r="F255" s="27" t="n">
        <x:v>6100</x:v>
      </x:c>
      <x:c r="G255" s="30" t="n">
        <x:f>F255-E255</x:f>
        <x:v>0</x:v>
      </x:c>
      <x:c r="H255" s="31" t="n">
        <x:f>IFERROR(G255/E255,0)</x:f>
        <x:v>0</x:v>
      </x:c>
      <x:c r="I255" s="12" t="str"/>
    </x:row>
    <x:row r="256">
      <x:c r="A256" s="26" t="n">
        <x:v>46266</x:v>
      </x:c>
      <x:c r="B256" s="12" t="str">
        <x:v>Operations</x:v>
      </x:c>
      <x:c r="C256" s="12" t="str">
        <x:v>Payroll</x:v>
      </x:c>
      <x:c r="D256" s="12" t="str">
        <x:v>Operating Expense</x:v>
      </x:c>
      <x:c r="E256" s="27" t="n">
        <x:v>57800</x:v>
      </x:c>
      <x:c r="F256" s="27" t="n">
        <x:v>56800</x:v>
      </x:c>
      <x:c r="G256" s="30" t="n">
        <x:f>F256-E256</x:f>
        <x:v>-1000</x:v>
      </x:c>
      <x:c r="H256" s="31" t="n">
        <x:f>IFERROR(G256/E256,0)</x:f>
        <x:v>-0.01730103806228374</x:v>
      </x:c>
      <x:c r="I256" s="12" t="str"/>
    </x:row>
    <x:row r="257">
      <x:c r="A257" s="26" t="n">
        <x:v>46266</x:v>
      </x:c>
      <x:c r="B257" s="12" t="str">
        <x:v>Operations</x:v>
      </x:c>
      <x:c r="C257" s="12" t="str">
        <x:v>Marketing Spend</x:v>
      </x:c>
      <x:c r="D257" s="12" t="str">
        <x:v>Operating Expense</x:v>
      </x:c>
      <x:c r="E257" s="27" t="n">
        <x:v>2900</x:v>
      </x:c>
      <x:c r="F257" s="27" t="n">
        <x:v>2800</x:v>
      </x:c>
      <x:c r="G257" s="30" t="n">
        <x:f>F257-E257</x:f>
        <x:v>-100</x:v>
      </x:c>
      <x:c r="H257" s="31" t="n">
        <x:f>IFERROR(G257/E257,0)</x:f>
        <x:v>-0.034482758620689655</x:v>
      </x:c>
      <x:c r="I257" s="12" t="str"/>
    </x:row>
    <x:row r="258">
      <x:c r="A258" s="26" t="n">
        <x:v>46266</x:v>
      </x:c>
      <x:c r="B258" s="12" t="str">
        <x:v>Operations</x:v>
      </x:c>
      <x:c r="C258" s="12" t="str">
        <x:v>Rent &amp; Utilities</x:v>
      </x:c>
      <x:c r="D258" s="12" t="str">
        <x:v>Operating Expense</x:v>
      </x:c>
      <x:c r="E258" s="27" t="n">
        <x:v>18400</x:v>
      </x:c>
      <x:c r="F258" s="27" t="n">
        <x:v>18100</x:v>
      </x:c>
      <x:c r="G258" s="30" t="n">
        <x:f>F258-E258</x:f>
        <x:v>-300</x:v>
      </x:c>
      <x:c r="H258" s="31" t="n">
        <x:f>IFERROR(G258/E258,0)</x:f>
        <x:v>-0.016304347826086956</x:v>
      </x:c>
      <x:c r="I258" s="12" t="str"/>
    </x:row>
    <x:row r="259">
      <x:c r="A259" s="26" t="n">
        <x:v>46266</x:v>
      </x:c>
      <x:c r="B259" s="12" t="str">
        <x:v>Operations</x:v>
      </x:c>
      <x:c r="C259" s="12" t="str">
        <x:v>Software &amp; IT</x:v>
      </x:c>
      <x:c r="D259" s="12" t="str">
        <x:v>Operating Expense</x:v>
      </x:c>
      <x:c r="E259" s="27" t="n">
        <x:v>12200</x:v>
      </x:c>
      <x:c r="F259" s="27" t="n">
        <x:v>13500</x:v>
      </x:c>
      <x:c r="G259" s="30" t="n">
        <x:f>F259-E259</x:f>
        <x:v>1300</x:v>
      </x:c>
      <x:c r="H259" s="31" t="n">
        <x:f>IFERROR(G259/E259,0)</x:f>
        <x:v>0.10655737704918032</x:v>
      </x:c>
      <x:c r="I259" s="12" t="str"/>
    </x:row>
    <x:row r="260">
      <x:c r="A260" s="26" t="n">
        <x:v>46266</x:v>
      </x:c>
      <x:c r="B260" s="12" t="str">
        <x:v>Finance</x:v>
      </x:c>
      <x:c r="C260" s="12" t="str">
        <x:v>Product Revenue</x:v>
      </x:c>
      <x:c r="D260" s="12" t="str">
        <x:v>Revenue</x:v>
      </x:c>
      <x:c r="E260" s="27" t="n">
        <x:v>8800</x:v>
      </x:c>
      <x:c r="F260" s="27" t="n">
        <x:v>8100</x:v>
      </x:c>
      <x:c r="G260" s="30" t="n">
        <x:f>F260-E260</x:f>
        <x:v>-700</x:v>
      </x:c>
      <x:c r="H260" s="31" t="n">
        <x:f>IFERROR(G260/E260,0)</x:f>
        <x:v>-0.07954545454545454</x:v>
      </x:c>
      <x:c r="I260" s="12" t="str"/>
    </x:row>
    <x:row r="261">
      <x:c r="A261" s="26" t="n">
        <x:v>46266</x:v>
      </x:c>
      <x:c r="B261" s="12" t="str">
        <x:v>Finance</x:v>
      </x:c>
      <x:c r="C261" s="12" t="str">
        <x:v>Service Revenue</x:v>
      </x:c>
      <x:c r="D261" s="12" t="str">
        <x:v>Revenue</x:v>
      </x:c>
      <x:c r="E261" s="27" t="n">
        <x:v>3000</x:v>
      </x:c>
      <x:c r="F261" s="27" t="n">
        <x:v>3100</x:v>
      </x:c>
      <x:c r="G261" s="30" t="n">
        <x:f>F261-E261</x:f>
        <x:v>100</x:v>
      </x:c>
      <x:c r="H261" s="31" t="n">
        <x:f>IFERROR(G261/E261,0)</x:f>
        <x:v>0.03333333333333333</x:v>
      </x:c>
      <x:c r="I261" s="12" t="str"/>
    </x:row>
    <x:row r="262">
      <x:c r="A262" s="26" t="n">
        <x:v>46266</x:v>
      </x:c>
      <x:c r="B262" s="12" t="str">
        <x:v>Finance</x:v>
      </x:c>
      <x:c r="C262" s="12" t="str">
        <x:v>Payroll</x:v>
      </x:c>
      <x:c r="D262" s="12" t="str">
        <x:v>Operating Expense</x:v>
      </x:c>
      <x:c r="E262" s="27" t="n">
        <x:v>39500</x:v>
      </x:c>
      <x:c r="F262" s="27" t="n">
        <x:v>38500</x:v>
      </x:c>
      <x:c r="G262" s="30" t="n">
        <x:f>F262-E262</x:f>
        <x:v>-1000</x:v>
      </x:c>
      <x:c r="H262" s="31" t="n">
        <x:f>IFERROR(G262/E262,0)</x:f>
        <x:v>-0.02531645569620253</x:v>
      </x:c>
      <x:c r="I262" s="12" t="str"/>
    </x:row>
    <x:row r="263">
      <x:c r="A263" s="26" t="n">
        <x:v>46266</x:v>
      </x:c>
      <x:c r="B263" s="12" t="str">
        <x:v>Finance</x:v>
      </x:c>
      <x:c r="C263" s="12" t="str">
        <x:v>Marketing Spend</x:v>
      </x:c>
      <x:c r="D263" s="12" t="str">
        <x:v>Operating Expense</x:v>
      </x:c>
      <x:c r="E263" s="27" t="n">
        <x:v>1000</x:v>
      </x:c>
      <x:c r="F263" s="27" t="n">
        <x:v>1100</x:v>
      </x:c>
      <x:c r="G263" s="30" t="n">
        <x:f>F263-E263</x:f>
        <x:v>100</x:v>
      </x:c>
      <x:c r="H263" s="31" t="n">
        <x:f>IFERROR(G263/E263,0)</x:f>
        <x:v>0.1</x:v>
      </x:c>
      <x:c r="I263" s="12" t="str"/>
    </x:row>
    <x:row r="264">
      <x:c r="A264" s="26" t="n">
        <x:v>46266</x:v>
      </x:c>
      <x:c r="B264" s="12" t="str">
        <x:v>Finance</x:v>
      </x:c>
      <x:c r="C264" s="12" t="str">
        <x:v>Rent &amp; Utilities</x:v>
      </x:c>
      <x:c r="D264" s="12" t="str">
        <x:v>Operating Expense</x:v>
      </x:c>
      <x:c r="E264" s="27" t="n">
        <x:v>7100</x:v>
      </x:c>
      <x:c r="F264" s="27" t="n">
        <x:v>7700</x:v>
      </x:c>
      <x:c r="G264" s="30" t="n">
        <x:f>F264-E264</x:f>
        <x:v>600</x:v>
      </x:c>
      <x:c r="H264" s="31" t="n">
        <x:f>IFERROR(G264/E264,0)</x:f>
        <x:v>0.08450704225352113</x:v>
      </x:c>
      <x:c r="I264" s="12" t="str"/>
    </x:row>
    <x:row r="265">
      <x:c r="A265" s="26" t="n">
        <x:v>46266</x:v>
      </x:c>
      <x:c r="B265" s="12" t="str">
        <x:v>Finance</x:v>
      </x:c>
      <x:c r="C265" s="12" t="str">
        <x:v>Software &amp; IT</x:v>
      </x:c>
      <x:c r="D265" s="12" t="str">
        <x:v>Operating Expense</x:v>
      </x:c>
      <x:c r="E265" s="27" t="n">
        <x:v>11400</x:v>
      </x:c>
      <x:c r="F265" s="27" t="n">
        <x:v>10600</x:v>
      </x:c>
      <x:c r="G265" s="30" t="n">
        <x:f>F265-E265</x:f>
        <x:v>-800</x:v>
      </x:c>
      <x:c r="H265" s="31" t="n">
        <x:f>IFERROR(G265/E265,0)</x:f>
        <x:v>-0.07017543859649122</x:v>
      </x:c>
      <x:c r="I265" s="12" t="str"/>
    </x:row>
    <x:row r="266">
      <x:c r="A266" s="26" t="n">
        <x:v>46266</x:v>
      </x:c>
      <x:c r="B266" s="12" t="str">
        <x:v>HR</x:v>
      </x:c>
      <x:c r="C266" s="12" t="str">
        <x:v>Product Revenue</x:v>
      </x:c>
      <x:c r="D266" s="12" t="str">
        <x:v>Revenue</x:v>
      </x:c>
      <x:c r="E266" s="27" t="n">
        <x:v>4300</x:v>
      </x:c>
      <x:c r="F266" s="27" t="n">
        <x:v>4000</x:v>
      </x:c>
      <x:c r="G266" s="30" t="n">
        <x:f>F266-E266</x:f>
        <x:v>-300</x:v>
      </x:c>
      <x:c r="H266" s="31" t="n">
        <x:f>IFERROR(G266/E266,0)</x:f>
        <x:v>-0.06976744186046512</x:v>
      </x:c>
      <x:c r="I266" s="12" t="str"/>
    </x:row>
    <x:row r="267">
      <x:c r="A267" s="26" t="n">
        <x:v>46266</x:v>
      </x:c>
      <x:c r="B267" s="12" t="str">
        <x:v>HR</x:v>
      </x:c>
      <x:c r="C267" s="12" t="str">
        <x:v>Service Revenue</x:v>
      </x:c>
      <x:c r="D267" s="12" t="str">
        <x:v>Revenue</x:v>
      </x:c>
      <x:c r="E267" s="27" t="n">
        <x:v>1500</x:v>
      </x:c>
      <x:c r="F267" s="27" t="n">
        <x:v>1600</x:v>
      </x:c>
      <x:c r="G267" s="30" t="n">
        <x:f>F267-E267</x:f>
        <x:v>100</x:v>
      </x:c>
      <x:c r="H267" s="31" t="n">
        <x:f>IFERROR(G267/E267,0)</x:f>
        <x:v>0.06666666666666667</x:v>
      </x:c>
      <x:c r="I267" s="12" t="str"/>
    </x:row>
    <x:row r="268">
      <x:c r="A268" s="26" t="n">
        <x:v>46266</x:v>
      </x:c>
      <x:c r="B268" s="12" t="str">
        <x:v>HR</x:v>
      </x:c>
      <x:c r="C268" s="12" t="str">
        <x:v>Payroll</x:v>
      </x:c>
      <x:c r="D268" s="12" t="str">
        <x:v>Operating Expense</x:v>
      </x:c>
      <x:c r="E268" s="27" t="n">
        <x:v>30200</x:v>
      </x:c>
      <x:c r="F268" s="27" t="n">
        <x:v>28400</x:v>
      </x:c>
      <x:c r="G268" s="30" t="n">
        <x:f>F268-E268</x:f>
        <x:v>-1800</x:v>
      </x:c>
      <x:c r="H268" s="31" t="n">
        <x:f>IFERROR(G268/E268,0)</x:f>
        <x:v>-0.059602649006622516</x:v>
      </x:c>
      <x:c r="I268" s="12" t="str"/>
    </x:row>
    <x:row r="269">
      <x:c r="A269" s="26" t="n">
        <x:v>46266</x:v>
      </x:c>
      <x:c r="B269" s="12" t="str">
        <x:v>HR</x:v>
      </x:c>
      <x:c r="C269" s="12" t="str">
        <x:v>Marketing Spend</x:v>
      </x:c>
      <x:c r="D269" s="12" t="str">
        <x:v>Operating Expense</x:v>
      </x:c>
      <x:c r="E269" s="27" t="n">
        <x:v>2000</x:v>
      </x:c>
      <x:c r="F269" s="27" t="n">
        <x:v>2200</x:v>
      </x:c>
      <x:c r="G269" s="30" t="n">
        <x:f>F269-E269</x:f>
        <x:v>200</x:v>
      </x:c>
      <x:c r="H269" s="31" t="n">
        <x:f>IFERROR(G269/E269,0)</x:f>
        <x:v>0.1</x:v>
      </x:c>
      <x:c r="I269" s="12" t="str"/>
    </x:row>
    <x:row r="270">
      <x:c r="A270" s="26" t="n">
        <x:v>46266</x:v>
      </x:c>
      <x:c r="B270" s="12" t="str">
        <x:v>HR</x:v>
      </x:c>
      <x:c r="C270" s="12" t="str">
        <x:v>Rent &amp; Utilities</x:v>
      </x:c>
      <x:c r="D270" s="12" t="str">
        <x:v>Operating Expense</x:v>
      </x:c>
      <x:c r="E270" s="27" t="n">
        <x:v>4900</x:v>
      </x:c>
      <x:c r="F270" s="27" t="n">
        <x:v>5100</x:v>
      </x:c>
      <x:c r="G270" s="30" t="n">
        <x:f>F270-E270</x:f>
        <x:v>200</x:v>
      </x:c>
      <x:c r="H270" s="31" t="n">
        <x:f>IFERROR(G270/E270,0)</x:f>
        <x:v>0.04081632653061224</x:v>
      </x:c>
      <x:c r="I270" s="12" t="str"/>
    </x:row>
    <x:row r="271">
      <x:c r="A271" s="26" t="n">
        <x:v>46266</x:v>
      </x:c>
      <x:c r="B271" s="12" t="str">
        <x:v>HR</x:v>
      </x:c>
      <x:c r="C271" s="12" t="str">
        <x:v>Software &amp; IT</x:v>
      </x:c>
      <x:c r="D271" s="12" t="str">
        <x:v>Operating Expense</x:v>
      </x:c>
      <x:c r="E271" s="27" t="n">
        <x:v>5100</x:v>
      </x:c>
      <x:c r="F271" s="27" t="n">
        <x:v>4600</x:v>
      </x:c>
      <x:c r="G271" s="30" t="n">
        <x:f>F271-E271</x:f>
        <x:v>-500</x:v>
      </x:c>
      <x:c r="H271" s="31" t="n">
        <x:f>IFERROR(G271/E271,0)</x:f>
        <x:v>-0.09803921568627451</x:v>
      </x:c>
      <x:c r="I271" s="12" t="str"/>
    </x:row>
    <x:row r="272">
      <x:c r="A272" s="26" t="n">
        <x:v>46296</x:v>
      </x:c>
      <x:c r="B272" s="12" t="str">
        <x:v>Sales</x:v>
      </x:c>
      <x:c r="C272" s="12" t="str">
        <x:v>Product Revenue</x:v>
      </x:c>
      <x:c r="D272" s="12" t="str">
        <x:v>Revenue</x:v>
      </x:c>
      <x:c r="E272" s="27" t="n">
        <x:v>162400</x:v>
      </x:c>
      <x:c r="F272" s="27" t="n">
        <x:v>180600</x:v>
      </x:c>
      <x:c r="G272" s="30" t="n">
        <x:f>F272-E272</x:f>
        <x:v>18200</x:v>
      </x:c>
      <x:c r="H272" s="31" t="n">
        <x:f>IFERROR(G272/E272,0)</x:f>
        <x:v>0.11206896551724138</x:v>
      </x:c>
      <x:c r="I272" s="12" t="str"/>
    </x:row>
    <x:row r="273">
      <x:c r="A273" s="26" t="n">
        <x:v>46296</x:v>
      </x:c>
      <x:c r="B273" s="12" t="str">
        <x:v>Sales</x:v>
      </x:c>
      <x:c r="C273" s="12" t="str">
        <x:v>Service Revenue</x:v>
      </x:c>
      <x:c r="D273" s="12" t="str">
        <x:v>Revenue</x:v>
      </x:c>
      <x:c r="E273" s="27" t="n">
        <x:v>53700</x:v>
      </x:c>
      <x:c r="F273" s="27" t="n">
        <x:v>48600</x:v>
      </x:c>
      <x:c r="G273" s="30" t="n">
        <x:f>F273-E273</x:f>
        <x:v>-5100</x:v>
      </x:c>
      <x:c r="H273" s="31" t="n">
        <x:f>IFERROR(G273/E273,0)</x:f>
        <x:v>-0.09497206703910614</x:v>
      </x:c>
      <x:c r="I273" s="12" t="str"/>
    </x:row>
    <x:row r="274">
      <x:c r="A274" s="26" t="n">
        <x:v>46296</x:v>
      </x:c>
      <x:c r="B274" s="12" t="str">
        <x:v>Sales</x:v>
      </x:c>
      <x:c r="C274" s="12" t="str">
        <x:v>Payroll</x:v>
      </x:c>
      <x:c r="D274" s="12" t="str">
        <x:v>Operating Expense</x:v>
      </x:c>
      <x:c r="E274" s="27" t="n">
        <x:v>51200</x:v>
      </x:c>
      <x:c r="F274" s="27" t="n">
        <x:v>54400</x:v>
      </x:c>
      <x:c r="G274" s="30" t="n">
        <x:f>F274-E274</x:f>
        <x:v>3200</x:v>
      </x:c>
      <x:c r="H274" s="31" t="n">
        <x:f>IFERROR(G274/E274,0)</x:f>
        <x:v>0.0625</x:v>
      </x:c>
      <x:c r="I274" s="12" t="str"/>
    </x:row>
    <x:row r="275">
      <x:c r="A275" s="26" t="n">
        <x:v>46296</x:v>
      </x:c>
      <x:c r="B275" s="12" t="str">
        <x:v>Sales</x:v>
      </x:c>
      <x:c r="C275" s="12" t="str">
        <x:v>Marketing Spend</x:v>
      </x:c>
      <x:c r="D275" s="12" t="str">
        <x:v>Operating Expense</x:v>
      </x:c>
      <x:c r="E275" s="27" t="n">
        <x:v>10400</x:v>
      </x:c>
      <x:c r="F275" s="27" t="n">
        <x:v>10300</x:v>
      </x:c>
      <x:c r="G275" s="30" t="n">
        <x:f>F275-E275</x:f>
        <x:v>-100</x:v>
      </x:c>
      <x:c r="H275" s="31" t="n">
        <x:f>IFERROR(G275/E275,0)</x:f>
        <x:v>-0.009615384615384616</x:v>
      </x:c>
      <x:c r="I275" s="12" t="str"/>
    </x:row>
    <x:row r="276">
      <x:c r="A276" s="26" t="n">
        <x:v>46296</x:v>
      </x:c>
      <x:c r="B276" s="12" t="str">
        <x:v>Sales</x:v>
      </x:c>
      <x:c r="C276" s="12" t="str">
        <x:v>Rent &amp; Utilities</x:v>
      </x:c>
      <x:c r="D276" s="12" t="str">
        <x:v>Operating Expense</x:v>
      </x:c>
      <x:c r="E276" s="27" t="n">
        <x:v>8100</x:v>
      </x:c>
      <x:c r="F276" s="27" t="n">
        <x:v>7300</x:v>
      </x:c>
      <x:c r="G276" s="30" t="n">
        <x:f>F276-E276</x:f>
        <x:v>-800</x:v>
      </x:c>
      <x:c r="H276" s="31" t="n">
        <x:f>IFERROR(G276/E276,0)</x:f>
        <x:v>-0.09876543209876543</x:v>
      </x:c>
      <x:c r="I276" s="12" t="str"/>
    </x:row>
    <x:row r="277">
      <x:c r="A277" s="26" t="n">
        <x:v>46296</x:v>
      </x:c>
      <x:c r="B277" s="12" t="str">
        <x:v>Sales</x:v>
      </x:c>
      <x:c r="C277" s="12" t="str">
        <x:v>Software &amp; IT</x:v>
      </x:c>
      <x:c r="D277" s="12" t="str">
        <x:v>Operating Expense</x:v>
      </x:c>
      <x:c r="E277" s="27" t="n">
        <x:v>7100</x:v>
      </x:c>
      <x:c r="F277" s="27" t="n">
        <x:v>7500</x:v>
      </x:c>
      <x:c r="G277" s="30" t="n">
        <x:f>F277-E277</x:f>
        <x:v>400</x:v>
      </x:c>
      <x:c r="H277" s="31" t="n">
        <x:f>IFERROR(G277/E277,0)</x:f>
        <x:v>0.056338028169014086</x:v>
      </x:c>
      <x:c r="I277" s="12" t="str"/>
    </x:row>
    <x:row r="278">
      <x:c r="A278" s="26" t="n">
        <x:v>46296</x:v>
      </x:c>
      <x:c r="B278" s="12" t="str">
        <x:v>Marketing</x:v>
      </x:c>
      <x:c r="C278" s="12" t="str">
        <x:v>Product Revenue</x:v>
      </x:c>
      <x:c r="D278" s="12" t="str">
        <x:v>Revenue</x:v>
      </x:c>
      <x:c r="E278" s="27" t="n">
        <x:v>25600</x:v>
      </x:c>
      <x:c r="F278" s="27" t="n">
        <x:v>27400</x:v>
      </x:c>
      <x:c r="G278" s="30" t="n">
        <x:f>F278-E278</x:f>
        <x:v>1800</x:v>
      </x:c>
      <x:c r="H278" s="31" t="n">
        <x:f>IFERROR(G278/E278,0)</x:f>
        <x:v>0.0703125</x:v>
      </x:c>
      <x:c r="I278" s="12" t="str"/>
    </x:row>
    <x:row r="279">
      <x:c r="A279" s="26" t="n">
        <x:v>46296</x:v>
      </x:c>
      <x:c r="B279" s="12" t="str">
        <x:v>Marketing</x:v>
      </x:c>
      <x:c r="C279" s="12" t="str">
        <x:v>Service Revenue</x:v>
      </x:c>
      <x:c r="D279" s="12" t="str">
        <x:v>Revenue</x:v>
      </x:c>
      <x:c r="E279" s="27" t="n">
        <x:v>9500</x:v>
      </x:c>
      <x:c r="F279" s="27" t="n">
        <x:v>9800</x:v>
      </x:c>
      <x:c r="G279" s="30" t="n">
        <x:f>F279-E279</x:f>
        <x:v>300</x:v>
      </x:c>
      <x:c r="H279" s="31" t="n">
        <x:f>IFERROR(G279/E279,0)</x:f>
        <x:v>0.031578947368421054</x:v>
      </x:c>
      <x:c r="I279" s="12" t="str"/>
    </x:row>
    <x:row r="280">
      <x:c r="A280" s="26" t="n">
        <x:v>46296</x:v>
      </x:c>
      <x:c r="B280" s="12" t="str">
        <x:v>Marketing</x:v>
      </x:c>
      <x:c r="C280" s="12" t="str">
        <x:v>Payroll</x:v>
      </x:c>
      <x:c r="D280" s="12" t="str">
        <x:v>Operating Expense</x:v>
      </x:c>
      <x:c r="E280" s="27" t="n">
        <x:v>33000</x:v>
      </x:c>
      <x:c r="F280" s="27" t="n">
        <x:v>37800</x:v>
      </x:c>
      <x:c r="G280" s="30" t="n">
        <x:f>F280-E280</x:f>
        <x:v>4800</x:v>
      </x:c>
      <x:c r="H280" s="31" t="n">
        <x:f>IFERROR(G280/E280,0)</x:f>
        <x:v>0.14545454545454545</x:v>
      </x:c>
      <x:c r="I280" s="12" t="str"/>
    </x:row>
    <x:row r="281">
      <x:c r="A281" s="26" t="n">
        <x:v>46296</x:v>
      </x:c>
      <x:c r="B281" s="12" t="str">
        <x:v>Marketing</x:v>
      </x:c>
      <x:c r="C281" s="12" t="str">
        <x:v>Marketing Spend</x:v>
      </x:c>
      <x:c r="D281" s="12" t="str">
        <x:v>Operating Expense</x:v>
      </x:c>
      <x:c r="E281" s="27" t="n">
        <x:v>46000</x:v>
      </x:c>
      <x:c r="F281" s="27" t="n">
        <x:v>44800</x:v>
      </x:c>
      <x:c r="G281" s="30" t="n">
        <x:f>F281-E281</x:f>
        <x:v>-1200</x:v>
      </x:c>
      <x:c r="H281" s="31" t="n">
        <x:f>IFERROR(G281/E281,0)</x:f>
        <x:v>-0.02608695652173913</x:v>
      </x:c>
      <x:c r="I281" s="12" t="str"/>
    </x:row>
    <x:row r="282">
      <x:c r="A282" s="26" t="n">
        <x:v>46296</x:v>
      </x:c>
      <x:c r="B282" s="12" t="str">
        <x:v>Marketing</x:v>
      </x:c>
      <x:c r="C282" s="12" t="str">
        <x:v>Rent &amp; Utilities</x:v>
      </x:c>
      <x:c r="D282" s="12" t="str">
        <x:v>Operating Expense</x:v>
      </x:c>
      <x:c r="E282" s="27" t="n">
        <x:v>6000</x:v>
      </x:c>
      <x:c r="F282" s="27" t="n">
        <x:v>5900</x:v>
      </x:c>
      <x:c r="G282" s="30" t="n">
        <x:f>F282-E282</x:f>
        <x:v>-100</x:v>
      </x:c>
      <x:c r="H282" s="31" t="n">
        <x:f>IFERROR(G282/E282,0)</x:f>
        <x:v>-0.016666666666666666</x:v>
      </x:c>
      <x:c r="I282" s="12" t="str"/>
    </x:row>
    <x:row r="283">
      <x:c r="A283" s="26" t="n">
        <x:v>46296</x:v>
      </x:c>
      <x:c r="B283" s="12" t="str">
        <x:v>Marketing</x:v>
      </x:c>
      <x:c r="C283" s="12" t="str">
        <x:v>Software &amp; IT</x:v>
      </x:c>
      <x:c r="D283" s="12" t="str">
        <x:v>Operating Expense</x:v>
      </x:c>
      <x:c r="E283" s="27" t="n">
        <x:v>9000</x:v>
      </x:c>
      <x:c r="F283" s="27" t="n">
        <x:v>8700</x:v>
      </x:c>
      <x:c r="G283" s="30" t="n">
        <x:f>F283-E283</x:f>
        <x:v>-300</x:v>
      </x:c>
      <x:c r="H283" s="31" t="n">
        <x:f>IFERROR(G283/E283,0)</x:f>
        <x:v>-0.03333333333333333</x:v>
      </x:c>
      <x:c r="I283" s="12" t="str"/>
    </x:row>
    <x:row r="284">
      <x:c r="A284" s="26" t="n">
        <x:v>46296</x:v>
      </x:c>
      <x:c r="B284" s="12" t="str">
        <x:v>Operations</x:v>
      </x:c>
      <x:c r="C284" s="12" t="str">
        <x:v>Product Revenue</x:v>
      </x:c>
      <x:c r="D284" s="12" t="str">
        <x:v>Revenue</x:v>
      </x:c>
      <x:c r="E284" s="27" t="n">
        <x:v>18100</x:v>
      </x:c>
      <x:c r="F284" s="27" t="n">
        <x:v>19600</x:v>
      </x:c>
      <x:c r="G284" s="30" t="n">
        <x:f>F284-E284</x:f>
        <x:v>1500</x:v>
      </x:c>
      <x:c r="H284" s="31" t="n">
        <x:f>IFERROR(G284/E284,0)</x:f>
        <x:v>0.08287292817679558</x:v>
      </x:c>
      <x:c r="I284" s="12" t="str"/>
    </x:row>
    <x:row r="285">
      <x:c r="A285" s="26" t="n">
        <x:v>46296</x:v>
      </x:c>
      <x:c r="B285" s="12" t="str">
        <x:v>Operations</x:v>
      </x:c>
      <x:c r="C285" s="12" t="str">
        <x:v>Service Revenue</x:v>
      </x:c>
      <x:c r="D285" s="12" t="str">
        <x:v>Revenue</x:v>
      </x:c>
      <x:c r="E285" s="27" t="n">
        <x:v>6000</x:v>
      </x:c>
      <x:c r="F285" s="27" t="n">
        <x:v>6700</x:v>
      </x:c>
      <x:c r="G285" s="30" t="n">
        <x:f>F285-E285</x:f>
        <x:v>700</x:v>
      </x:c>
      <x:c r="H285" s="31" t="n">
        <x:f>IFERROR(G285/E285,0)</x:f>
        <x:v>0.11666666666666667</x:v>
      </x:c>
      <x:c r="I285" s="12" t="str"/>
    </x:row>
    <x:row r="286">
      <x:c r="A286" s="26" t="n">
        <x:v>46296</x:v>
      </x:c>
      <x:c r="B286" s="12" t="str">
        <x:v>Operations</x:v>
      </x:c>
      <x:c r="C286" s="12" t="str">
        <x:v>Payroll</x:v>
      </x:c>
      <x:c r="D286" s="12" t="str">
        <x:v>Operating Expense</x:v>
      </x:c>
      <x:c r="E286" s="27" t="n">
        <x:v>60700</x:v>
      </x:c>
      <x:c r="F286" s="27" t="n">
        <x:v>67000</x:v>
      </x:c>
      <x:c r="G286" s="30" t="n">
        <x:f>F286-E286</x:f>
        <x:v>6300</x:v>
      </x:c>
      <x:c r="H286" s="31" t="n">
        <x:f>IFERROR(G286/E286,0)</x:f>
        <x:v>0.10378912685337727</x:v>
      </x:c>
      <x:c r="I286" s="12" t="str"/>
    </x:row>
    <x:row r="287">
      <x:c r="A287" s="26" t="n">
        <x:v>46296</x:v>
      </x:c>
      <x:c r="B287" s="12" t="str">
        <x:v>Operations</x:v>
      </x:c>
      <x:c r="C287" s="12" t="str">
        <x:v>Marketing Spend</x:v>
      </x:c>
      <x:c r="D287" s="12" t="str">
        <x:v>Operating Expense</x:v>
      </x:c>
      <x:c r="E287" s="27" t="n">
        <x:v>3000</x:v>
      </x:c>
      <x:c r="F287" s="27" t="n">
        <x:v>3000</x:v>
      </x:c>
      <x:c r="G287" s="30" t="n">
        <x:f>F287-E287</x:f>
        <x:v>0</x:v>
      </x:c>
      <x:c r="H287" s="31" t="n">
        <x:f>IFERROR(G287/E287,0)</x:f>
        <x:v>0</x:v>
      </x:c>
      <x:c r="I287" s="12" t="str"/>
    </x:row>
    <x:row r="288">
      <x:c r="A288" s="26" t="n">
        <x:v>46296</x:v>
      </x:c>
      <x:c r="B288" s="12" t="str">
        <x:v>Operations</x:v>
      </x:c>
      <x:c r="C288" s="12" t="str">
        <x:v>Rent &amp; Utilities</x:v>
      </x:c>
      <x:c r="D288" s="12" t="str">
        <x:v>Operating Expense</x:v>
      </x:c>
      <x:c r="E288" s="27" t="n">
        <x:v>18300</x:v>
      </x:c>
      <x:c r="F288" s="27" t="n">
        <x:v>20900</x:v>
      </x:c>
      <x:c r="G288" s="30" t="n">
        <x:f>F288-E288</x:f>
        <x:v>2600</x:v>
      </x:c>
      <x:c r="H288" s="31" t="n">
        <x:f>IFERROR(G288/E288,0)</x:f>
        <x:v>0.14207650273224043</x:v>
      </x:c>
      <x:c r="I288" s="12" t="str"/>
    </x:row>
    <x:row r="289">
      <x:c r="A289" s="26" t="n">
        <x:v>46296</x:v>
      </x:c>
      <x:c r="B289" s="12" t="str">
        <x:v>Operations</x:v>
      </x:c>
      <x:c r="C289" s="12" t="str">
        <x:v>Software &amp; IT</x:v>
      </x:c>
      <x:c r="D289" s="12" t="str">
        <x:v>Operating Expense</x:v>
      </x:c>
      <x:c r="E289" s="27" t="n">
        <x:v>11800</x:v>
      </x:c>
      <x:c r="F289" s="27" t="n">
        <x:v>13000</x:v>
      </x:c>
      <x:c r="G289" s="30" t="n">
        <x:f>F289-E289</x:f>
        <x:v>1200</x:v>
      </x:c>
      <x:c r="H289" s="31" t="n">
        <x:f>IFERROR(G289/E289,0)</x:f>
        <x:v>0.1016949152542373</x:v>
      </x:c>
      <x:c r="I289" s="12" t="str"/>
    </x:row>
    <x:row r="290">
      <x:c r="A290" s="26" t="n">
        <x:v>46296</x:v>
      </x:c>
      <x:c r="B290" s="12" t="str">
        <x:v>Finance</x:v>
      </x:c>
      <x:c r="C290" s="12" t="str">
        <x:v>Product Revenue</x:v>
      </x:c>
      <x:c r="D290" s="12" t="str">
        <x:v>Revenue</x:v>
      </x:c>
      <x:c r="E290" s="27" t="n">
        <x:v>8800</x:v>
      </x:c>
      <x:c r="F290" s="27" t="n">
        <x:v>8900</x:v>
      </x:c>
      <x:c r="G290" s="30" t="n">
        <x:f>F290-E290</x:f>
        <x:v>100</x:v>
      </x:c>
      <x:c r="H290" s="31" t="n">
        <x:f>IFERROR(G290/E290,0)</x:f>
        <x:v>0.011363636363636364</x:v>
      </x:c>
      <x:c r="I290" s="12" t="str"/>
    </x:row>
    <x:row r="291">
      <x:c r="A291" s="26" t="n">
        <x:v>46296</x:v>
      </x:c>
      <x:c r="B291" s="12" t="str">
        <x:v>Finance</x:v>
      </x:c>
      <x:c r="C291" s="12" t="str">
        <x:v>Service Revenue</x:v>
      </x:c>
      <x:c r="D291" s="12" t="str">
        <x:v>Revenue</x:v>
      </x:c>
      <x:c r="E291" s="27" t="n">
        <x:v>3100</x:v>
      </x:c>
      <x:c r="F291" s="27" t="n">
        <x:v>3300</x:v>
      </x:c>
      <x:c r="G291" s="30" t="n">
        <x:f>F291-E291</x:f>
        <x:v>200</x:v>
      </x:c>
      <x:c r="H291" s="31" t="n">
        <x:f>IFERROR(G291/E291,0)</x:f>
        <x:v>0.06451612903225806</x:v>
      </x:c>
      <x:c r="I291" s="12" t="str"/>
    </x:row>
    <x:row r="292">
      <x:c r="A292" s="26" t="n">
        <x:v>46296</x:v>
      </x:c>
      <x:c r="B292" s="12" t="str">
        <x:v>Finance</x:v>
      </x:c>
      <x:c r="C292" s="12" t="str">
        <x:v>Payroll</x:v>
      </x:c>
      <x:c r="D292" s="12" t="str">
        <x:v>Operating Expense</x:v>
      </x:c>
      <x:c r="E292" s="27" t="n">
        <x:v>37300</x:v>
      </x:c>
      <x:c r="F292" s="27" t="n">
        <x:v>41400</x:v>
      </x:c>
      <x:c r="G292" s="30" t="n">
        <x:f>F292-E292</x:f>
        <x:v>4100</x:v>
      </x:c>
      <x:c r="H292" s="31" t="n">
        <x:f>IFERROR(G292/E292,0)</x:f>
        <x:v>0.10991957104557641</x:v>
      </x:c>
      <x:c r="I292" s="12" t="str"/>
    </x:row>
    <x:row r="293">
      <x:c r="A293" s="26" t="n">
        <x:v>46296</x:v>
      </x:c>
      <x:c r="B293" s="12" t="str">
        <x:v>Finance</x:v>
      </x:c>
      <x:c r="C293" s="12" t="str">
        <x:v>Marketing Spend</x:v>
      </x:c>
      <x:c r="D293" s="12" t="str">
        <x:v>Operating Expense</x:v>
      </x:c>
      <x:c r="E293" s="27" t="n">
        <x:v>1000</x:v>
      </x:c>
      <x:c r="F293" s="27" t="n">
        <x:v>900</x:v>
      </x:c>
      <x:c r="G293" s="30" t="n">
        <x:f>F293-E293</x:f>
        <x:v>-100</x:v>
      </x:c>
      <x:c r="H293" s="31" t="n">
        <x:f>IFERROR(G293/E293,0)</x:f>
        <x:v>-0.1</x:v>
      </x:c>
      <x:c r="I293" s="12" t="str"/>
    </x:row>
    <x:row r="294">
      <x:c r="A294" s="26" t="n">
        <x:v>46296</x:v>
      </x:c>
      <x:c r="B294" s="12" t="str">
        <x:v>Finance</x:v>
      </x:c>
      <x:c r="C294" s="12" t="str">
        <x:v>Rent &amp; Utilities</x:v>
      </x:c>
      <x:c r="D294" s="12" t="str">
        <x:v>Operating Expense</x:v>
      </x:c>
      <x:c r="E294" s="27" t="n">
        <x:v>7200</x:v>
      </x:c>
      <x:c r="F294" s="27" t="n">
        <x:v>6800</x:v>
      </x:c>
      <x:c r="G294" s="30" t="n">
        <x:f>F294-E294</x:f>
        <x:v>-400</x:v>
      </x:c>
      <x:c r="H294" s="31" t="n">
        <x:f>IFERROR(G294/E294,0)</x:f>
        <x:v>-0.05555555555555555</x:v>
      </x:c>
      <x:c r="I294" s="12" t="str"/>
    </x:row>
    <x:row r="295">
      <x:c r="A295" s="26" t="n">
        <x:v>46296</x:v>
      </x:c>
      <x:c r="B295" s="12" t="str">
        <x:v>Finance</x:v>
      </x:c>
      <x:c r="C295" s="12" t="str">
        <x:v>Software &amp; IT</x:v>
      </x:c>
      <x:c r="D295" s="12" t="str">
        <x:v>Operating Expense</x:v>
      </x:c>
      <x:c r="E295" s="27" t="n">
        <x:v>11000</x:v>
      </x:c>
      <x:c r="F295" s="27" t="n">
        <x:v>11500</x:v>
      </x:c>
      <x:c r="G295" s="30" t="n">
        <x:f>F295-E295</x:f>
        <x:v>500</x:v>
      </x:c>
      <x:c r="H295" s="31" t="n">
        <x:f>IFERROR(G295/E295,0)</x:f>
        <x:v>0.045454545454545456</x:v>
      </x:c>
      <x:c r="I295" s="12" t="str"/>
    </x:row>
    <x:row r="296">
      <x:c r="A296" s="26" t="n">
        <x:v>46296</x:v>
      </x:c>
      <x:c r="B296" s="12" t="str">
        <x:v>HR</x:v>
      </x:c>
      <x:c r="C296" s="12" t="str">
        <x:v>Product Revenue</x:v>
      </x:c>
      <x:c r="D296" s="12" t="str">
        <x:v>Revenue</x:v>
      </x:c>
      <x:c r="E296" s="27" t="n">
        <x:v>4400</x:v>
      </x:c>
      <x:c r="F296" s="27" t="n">
        <x:v>4000</x:v>
      </x:c>
      <x:c r="G296" s="30" t="n">
        <x:f>F296-E296</x:f>
        <x:v>-400</x:v>
      </x:c>
      <x:c r="H296" s="31" t="n">
        <x:f>IFERROR(G296/E296,0)</x:f>
        <x:v>-0.09090909090909091</x:v>
      </x:c>
      <x:c r="I296" s="12" t="str"/>
    </x:row>
    <x:row r="297">
      <x:c r="A297" s="26" t="n">
        <x:v>46296</x:v>
      </x:c>
      <x:c r="B297" s="12" t="str">
        <x:v>HR</x:v>
      </x:c>
      <x:c r="C297" s="12" t="str">
        <x:v>Service Revenue</x:v>
      </x:c>
      <x:c r="D297" s="12" t="str">
        <x:v>Revenue</x:v>
      </x:c>
      <x:c r="E297" s="27" t="n">
        <x:v>1600</x:v>
      </x:c>
      <x:c r="F297" s="27" t="n">
        <x:v>1500</x:v>
      </x:c>
      <x:c r="G297" s="30" t="n">
        <x:f>F297-E297</x:f>
        <x:v>-100</x:v>
      </x:c>
      <x:c r="H297" s="31" t="n">
        <x:f>IFERROR(G297/E297,0)</x:f>
        <x:v>-0.0625</x:v>
      </x:c>
      <x:c r="I297" s="12" t="str"/>
    </x:row>
    <x:row r="298">
      <x:c r="A298" s="26" t="n">
        <x:v>46296</x:v>
      </x:c>
      <x:c r="B298" s="12" t="str">
        <x:v>HR</x:v>
      </x:c>
      <x:c r="C298" s="12" t="str">
        <x:v>Payroll</x:v>
      </x:c>
      <x:c r="D298" s="12" t="str">
        <x:v>Operating Expense</x:v>
      </x:c>
      <x:c r="E298" s="27" t="n">
        <x:v>29300</x:v>
      </x:c>
      <x:c r="F298" s="27" t="n">
        <x:v>32100</x:v>
      </x:c>
      <x:c r="G298" s="30" t="n">
        <x:f>F298-E298</x:f>
        <x:v>2800</x:v>
      </x:c>
      <x:c r="H298" s="31" t="n">
        <x:f>IFERROR(G298/E298,0)</x:f>
        <x:v>0.09556313993174062</x:v>
      </x:c>
      <x:c r="I298" s="12" t="str"/>
    </x:row>
    <x:row r="299">
      <x:c r="A299" s="26" t="n">
        <x:v>46296</x:v>
      </x:c>
      <x:c r="B299" s="12" t="str">
        <x:v>HR</x:v>
      </x:c>
      <x:c r="C299" s="12" t="str">
        <x:v>Marketing Spend</x:v>
      </x:c>
      <x:c r="D299" s="12" t="str">
        <x:v>Operating Expense</x:v>
      </x:c>
      <x:c r="E299" s="27" t="n">
        <x:v>2000</x:v>
      </x:c>
      <x:c r="F299" s="27" t="n">
        <x:v>2200</x:v>
      </x:c>
      <x:c r="G299" s="30" t="n">
        <x:f>F299-E299</x:f>
        <x:v>200</x:v>
      </x:c>
      <x:c r="H299" s="31" t="n">
        <x:f>IFERROR(G299/E299,0)</x:f>
        <x:v>0.1</x:v>
      </x:c>
      <x:c r="I299" s="12" t="str"/>
    </x:row>
    <x:row r="300">
      <x:c r="A300" s="26" t="n">
        <x:v>46296</x:v>
      </x:c>
      <x:c r="B300" s="12" t="str">
        <x:v>HR</x:v>
      </x:c>
      <x:c r="C300" s="12" t="str">
        <x:v>Rent &amp; Utilities</x:v>
      </x:c>
      <x:c r="D300" s="12" t="str">
        <x:v>Operating Expense</x:v>
      </x:c>
      <x:c r="E300" s="27" t="n">
        <x:v>5100</x:v>
      </x:c>
      <x:c r="F300" s="27" t="n">
        <x:v>4900</x:v>
      </x:c>
      <x:c r="G300" s="30" t="n">
        <x:f>F300-E300</x:f>
        <x:v>-200</x:v>
      </x:c>
      <x:c r="H300" s="31" t="n">
        <x:f>IFERROR(G300/E300,0)</x:f>
        <x:v>-0.0392156862745098</x:v>
      </x:c>
      <x:c r="I300" s="12" t="str"/>
    </x:row>
    <x:row r="301">
      <x:c r="A301" s="26" t="n">
        <x:v>46296</x:v>
      </x:c>
      <x:c r="B301" s="12" t="str">
        <x:v>HR</x:v>
      </x:c>
      <x:c r="C301" s="12" t="str">
        <x:v>Software &amp; IT</x:v>
      </x:c>
      <x:c r="D301" s="12" t="str">
        <x:v>Operating Expense</x:v>
      </x:c>
      <x:c r="E301" s="27" t="n">
        <x:v>4800</x:v>
      </x:c>
      <x:c r="F301" s="27" t="n">
        <x:v>5500</x:v>
      </x:c>
      <x:c r="G301" s="30" t="n">
        <x:f>F301-E301</x:f>
        <x:v>700</x:v>
      </x:c>
      <x:c r="H301" s="31" t="n">
        <x:f>IFERROR(G301/E301,0)</x:f>
        <x:v>0.14583333333333334</x:v>
      </x:c>
      <x:c r="I301" s="12" t="str"/>
    </x:row>
    <x:row r="302">
      <x:c r="A302" s="26" t="n">
        <x:v>46327</x:v>
      </x:c>
      <x:c r="B302" s="12" t="str">
        <x:v>Sales</x:v>
      </x:c>
      <x:c r="C302" s="12" t="str">
        <x:v>Product Revenue</x:v>
      </x:c>
      <x:c r="D302" s="12" t="str">
        <x:v>Revenue</x:v>
      </x:c>
      <x:c r="E302" s="27" t="n">
        <x:v>155900</x:v>
      </x:c>
      <x:c r="F302" s="27" t="n">
        <x:v>165000</x:v>
      </x:c>
      <x:c r="G302" s="30" t="n">
        <x:f>F302-E302</x:f>
        <x:v>9100</x:v>
      </x:c>
      <x:c r="H302" s="31" t="n">
        <x:f>IFERROR(G302/E302,0)</x:f>
        <x:v>0.058370750481077614</x:v>
      </x:c>
      <x:c r="I302" s="12" t="str"/>
    </x:row>
    <x:row r="303">
      <x:c r="A303" s="26" t="n">
        <x:v>46327</x:v>
      </x:c>
      <x:c r="B303" s="12" t="str">
        <x:v>Sales</x:v>
      </x:c>
      <x:c r="C303" s="12" t="str">
        <x:v>Service Revenue</x:v>
      </x:c>
      <x:c r="D303" s="12" t="str">
        <x:v>Revenue</x:v>
      </x:c>
      <x:c r="E303" s="27" t="n">
        <x:v>56400</x:v>
      </x:c>
      <x:c r="F303" s="27" t="n">
        <x:v>60200</x:v>
      </x:c>
      <x:c r="G303" s="30" t="n">
        <x:f>F303-E303</x:f>
        <x:v>3800</x:v>
      </x:c>
      <x:c r="H303" s="31" t="n">
        <x:f>IFERROR(G303/E303,0)</x:f>
        <x:v>0.0673758865248227</x:v>
      </x:c>
      <x:c r="I303" s="12" t="str"/>
    </x:row>
    <x:row r="304">
      <x:c r="A304" s="26" t="n">
        <x:v>46327</x:v>
      </x:c>
      <x:c r="B304" s="12" t="str">
        <x:v>Sales</x:v>
      </x:c>
      <x:c r="C304" s="12" t="str">
        <x:v>Payroll</x:v>
      </x:c>
      <x:c r="D304" s="12" t="str">
        <x:v>Operating Expense</x:v>
      </x:c>
      <x:c r="E304" s="27" t="n">
        <x:v>52800</x:v>
      </x:c>
      <x:c r="F304" s="27" t="n">
        <x:v>55700</x:v>
      </x:c>
      <x:c r="G304" s="30" t="n">
        <x:f>F304-E304</x:f>
        <x:v>2900</x:v>
      </x:c>
      <x:c r="H304" s="31" t="n">
        <x:f>IFERROR(G304/E304,0)</x:f>
        <x:v>0.054924242424242424</x:v>
      </x:c>
      <x:c r="I304" s="12" t="str"/>
    </x:row>
    <x:row r="305">
      <x:c r="A305" s="26" t="n">
        <x:v>46327</x:v>
      </x:c>
      <x:c r="B305" s="12" t="str">
        <x:v>Sales</x:v>
      </x:c>
      <x:c r="C305" s="12" t="str">
        <x:v>Marketing Spend</x:v>
      </x:c>
      <x:c r="D305" s="12" t="str">
        <x:v>Operating Expense</x:v>
      </x:c>
      <x:c r="E305" s="27" t="n">
        <x:v>10000</x:v>
      </x:c>
      <x:c r="F305" s="27" t="n">
        <x:v>10900</x:v>
      </x:c>
      <x:c r="G305" s="30" t="n">
        <x:f>F305-E305</x:f>
        <x:v>900</x:v>
      </x:c>
      <x:c r="H305" s="31" t="n">
        <x:f>IFERROR(G305/E305,0)</x:f>
        <x:v>0.09</x:v>
      </x:c>
      <x:c r="I305" s="12" t="str"/>
    </x:row>
    <x:row r="306">
      <x:c r="A306" s="26" t="n">
        <x:v>46327</x:v>
      </x:c>
      <x:c r="B306" s="12" t="str">
        <x:v>Sales</x:v>
      </x:c>
      <x:c r="C306" s="12" t="str">
        <x:v>Rent &amp; Utilities</x:v>
      </x:c>
      <x:c r="D306" s="12" t="str">
        <x:v>Operating Expense</x:v>
      </x:c>
      <x:c r="E306" s="27" t="n">
        <x:v>7700</x:v>
      </x:c>
      <x:c r="F306" s="27" t="n">
        <x:v>7200</x:v>
      </x:c>
      <x:c r="G306" s="30" t="n">
        <x:f>F306-E306</x:f>
        <x:v>-500</x:v>
      </x:c>
      <x:c r="H306" s="31" t="n">
        <x:f>IFERROR(G306/E306,0)</x:f>
        <x:v>-0.06493506493506493</x:v>
      </x:c>
      <x:c r="I306" s="12" t="str"/>
    </x:row>
    <x:row r="307">
      <x:c r="A307" s="26" t="n">
        <x:v>46327</x:v>
      </x:c>
      <x:c r="B307" s="12" t="str">
        <x:v>Sales</x:v>
      </x:c>
      <x:c r="C307" s="12" t="str">
        <x:v>Software &amp; IT</x:v>
      </x:c>
      <x:c r="D307" s="12" t="str">
        <x:v>Operating Expense</x:v>
      </x:c>
      <x:c r="E307" s="27" t="n">
        <x:v>7100</x:v>
      </x:c>
      <x:c r="F307" s="27" t="n">
        <x:v>6800</x:v>
      </x:c>
      <x:c r="G307" s="30" t="n">
        <x:f>F307-E307</x:f>
        <x:v>-300</x:v>
      </x:c>
      <x:c r="H307" s="31" t="n">
        <x:f>IFERROR(G307/E307,0)</x:f>
        <x:v>-0.04225352112676056</x:v>
      </x:c>
      <x:c r="I307" s="12" t="str"/>
    </x:row>
    <x:row r="308">
      <x:c r="A308" s="26" t="n">
        <x:v>46327</x:v>
      </x:c>
      <x:c r="B308" s="12" t="str">
        <x:v>Marketing</x:v>
      </x:c>
      <x:c r="C308" s="12" t="str">
        <x:v>Product Revenue</x:v>
      </x:c>
      <x:c r="D308" s="12" t="str">
        <x:v>Revenue</x:v>
      </x:c>
      <x:c r="E308" s="27" t="n">
        <x:v>27100</x:v>
      </x:c>
      <x:c r="F308" s="27" t="n">
        <x:v>27200</x:v>
      </x:c>
      <x:c r="G308" s="30" t="n">
        <x:f>F308-E308</x:f>
        <x:v>100</x:v>
      </x:c>
      <x:c r="H308" s="31" t="n">
        <x:f>IFERROR(G308/E308,0)</x:f>
        <x:v>0.0036900369003690036</x:v>
      </x:c>
      <x:c r="I308" s="12" t="str"/>
    </x:row>
    <x:row r="309">
      <x:c r="A309" s="26" t="n">
        <x:v>46327</x:v>
      </x:c>
      <x:c r="B309" s="12" t="str">
        <x:v>Marketing</x:v>
      </x:c>
      <x:c r="C309" s="12" t="str">
        <x:v>Service Revenue</x:v>
      </x:c>
      <x:c r="D309" s="12" t="str">
        <x:v>Revenue</x:v>
      </x:c>
      <x:c r="E309" s="27" t="n">
        <x:v>9400</x:v>
      </x:c>
      <x:c r="F309" s="27" t="n">
        <x:v>9300</x:v>
      </x:c>
      <x:c r="G309" s="30" t="n">
        <x:f>F309-E309</x:f>
        <x:v>-100</x:v>
      </x:c>
      <x:c r="H309" s="31" t="n">
        <x:f>IFERROR(G309/E309,0)</x:f>
        <x:v>-0.010638297872340425</x:v>
      </x:c>
      <x:c r="I309" s="12" t="str"/>
    </x:row>
    <x:row r="310">
      <x:c r="A310" s="26" t="n">
        <x:v>46327</x:v>
      </x:c>
      <x:c r="B310" s="12" t="str">
        <x:v>Marketing</x:v>
      </x:c>
      <x:c r="C310" s="12" t="str">
        <x:v>Payroll</x:v>
      </x:c>
      <x:c r="D310" s="12" t="str">
        <x:v>Operating Expense</x:v>
      </x:c>
      <x:c r="E310" s="27" t="n">
        <x:v>34700</x:v>
      </x:c>
      <x:c r="F310" s="27" t="n">
        <x:v>33600</x:v>
      </x:c>
      <x:c r="G310" s="30" t="n">
        <x:f>F310-E310</x:f>
        <x:v>-1100</x:v>
      </x:c>
      <x:c r="H310" s="31" t="n">
        <x:f>IFERROR(G310/E310,0)</x:f>
        <x:v>-0.03170028818443804</x:v>
      </x:c>
      <x:c r="I310" s="12" t="str"/>
    </x:row>
    <x:row r="311">
      <x:c r="A311" s="26" t="n">
        <x:v>46327</x:v>
      </x:c>
      <x:c r="B311" s="12" t="str">
        <x:v>Marketing</x:v>
      </x:c>
      <x:c r="C311" s="12" t="str">
        <x:v>Marketing Spend</x:v>
      </x:c>
      <x:c r="D311" s="12" t="str">
        <x:v>Operating Expense</x:v>
      </x:c>
      <x:c r="E311" s="27" t="n">
        <x:v>45700</x:v>
      </x:c>
      <x:c r="F311" s="27" t="n">
        <x:v>43600</x:v>
      </x:c>
      <x:c r="G311" s="30" t="n">
        <x:f>F311-E311</x:f>
        <x:v>-2100</x:v>
      </x:c>
      <x:c r="H311" s="31" t="n">
        <x:f>IFERROR(G311/E311,0)</x:f>
        <x:v>-0.045951859956236324</x:v>
      </x:c>
      <x:c r="I311" s="12" t="str"/>
    </x:row>
    <x:row r="312">
      <x:c r="A312" s="26" t="n">
        <x:v>46327</x:v>
      </x:c>
      <x:c r="B312" s="12" t="str">
        <x:v>Marketing</x:v>
      </x:c>
      <x:c r="C312" s="12" t="str">
        <x:v>Rent &amp; Utilities</x:v>
      </x:c>
      <x:c r="D312" s="12" t="str">
        <x:v>Operating Expense</x:v>
      </x:c>
      <x:c r="E312" s="27" t="n">
        <x:v>5900</x:v>
      </x:c>
      <x:c r="F312" s="27" t="n">
        <x:v>5400</x:v>
      </x:c>
      <x:c r="G312" s="30" t="n">
        <x:f>F312-E312</x:f>
        <x:v>-500</x:v>
      </x:c>
      <x:c r="H312" s="31" t="n">
        <x:f>IFERROR(G312/E312,0)</x:f>
        <x:v>-0.0847457627118644</x:v>
      </x:c>
      <x:c r="I312" s="12" t="str"/>
    </x:row>
    <x:row r="313">
      <x:c r="A313" s="26" t="n">
        <x:v>46327</x:v>
      </x:c>
      <x:c r="B313" s="12" t="str">
        <x:v>Marketing</x:v>
      </x:c>
      <x:c r="C313" s="12" t="str">
        <x:v>Software &amp; IT</x:v>
      </x:c>
      <x:c r="D313" s="12" t="str">
        <x:v>Operating Expense</x:v>
      </x:c>
      <x:c r="E313" s="27" t="n">
        <x:v>8800</x:v>
      </x:c>
      <x:c r="F313" s="27" t="n">
        <x:v>8000</x:v>
      </x:c>
      <x:c r="G313" s="30" t="n">
        <x:f>F313-E313</x:f>
        <x:v>-800</x:v>
      </x:c>
      <x:c r="H313" s="31" t="n">
        <x:f>IFERROR(G313/E313,0)</x:f>
        <x:v>-0.09090909090909091</x:v>
      </x:c>
      <x:c r="I313" s="12" t="str"/>
    </x:row>
    <x:row r="314">
      <x:c r="A314" s="26" t="n">
        <x:v>46327</x:v>
      </x:c>
      <x:c r="B314" s="12" t="str">
        <x:v>Operations</x:v>
      </x:c>
      <x:c r="C314" s="12" t="str">
        <x:v>Product Revenue</x:v>
      </x:c>
      <x:c r="D314" s="12" t="str">
        <x:v>Revenue</x:v>
      </x:c>
      <x:c r="E314" s="27" t="n">
        <x:v>18000</x:v>
      </x:c>
      <x:c r="F314" s="27" t="n">
        <x:v>19200</x:v>
      </x:c>
      <x:c r="G314" s="30" t="n">
        <x:f>F314-E314</x:f>
        <x:v>1200</x:v>
      </x:c>
      <x:c r="H314" s="31" t="n">
        <x:f>IFERROR(G314/E314,0)</x:f>
        <x:v>0.06666666666666667</x:v>
      </x:c>
      <x:c r="I314" s="12" t="str"/>
    </x:row>
    <x:row r="315">
      <x:c r="A315" s="26" t="n">
        <x:v>46327</x:v>
      </x:c>
      <x:c r="B315" s="12" t="str">
        <x:v>Operations</x:v>
      </x:c>
      <x:c r="C315" s="12" t="str">
        <x:v>Service Revenue</x:v>
      </x:c>
      <x:c r="D315" s="12" t="str">
        <x:v>Revenue</x:v>
      </x:c>
      <x:c r="E315" s="27" t="n">
        <x:v>6100</x:v>
      </x:c>
      <x:c r="F315" s="27" t="n">
        <x:v>5800</x:v>
      </x:c>
      <x:c r="G315" s="30" t="n">
        <x:f>F315-E315</x:f>
        <x:v>-300</x:v>
      </x:c>
      <x:c r="H315" s="31" t="n">
        <x:f>IFERROR(G315/E315,0)</x:f>
        <x:v>-0.04918032786885246</x:v>
      </x:c>
      <x:c r="I315" s="12" t="str"/>
    </x:row>
    <x:row r="316">
      <x:c r="A316" s="26" t="n">
        <x:v>46327</x:v>
      </x:c>
      <x:c r="B316" s="12" t="str">
        <x:v>Operations</x:v>
      </x:c>
      <x:c r="C316" s="12" t="str">
        <x:v>Payroll</x:v>
      </x:c>
      <x:c r="D316" s="12" t="str">
        <x:v>Operating Expense</x:v>
      </x:c>
      <x:c r="E316" s="27" t="n">
        <x:v>59900</x:v>
      </x:c>
      <x:c r="F316" s="27" t="n">
        <x:v>64400</x:v>
      </x:c>
      <x:c r="G316" s="30" t="n">
        <x:f>F316-E316</x:f>
        <x:v>4500</x:v>
      </x:c>
      <x:c r="H316" s="31" t="n">
        <x:f>IFERROR(G316/E316,0)</x:f>
        <x:v>0.07512520868113523</x:v>
      </x:c>
      <x:c r="I316" s="12" t="str"/>
    </x:row>
    <x:row r="317">
      <x:c r="A317" s="26" t="n">
        <x:v>46327</x:v>
      </x:c>
      <x:c r="B317" s="12" t="str">
        <x:v>Operations</x:v>
      </x:c>
      <x:c r="C317" s="12" t="str">
        <x:v>Marketing Spend</x:v>
      </x:c>
      <x:c r="D317" s="12" t="str">
        <x:v>Operating Expense</x:v>
      </x:c>
      <x:c r="E317" s="27" t="n">
        <x:v>3100</x:v>
      </x:c>
      <x:c r="F317" s="27" t="n">
        <x:v>3200</x:v>
      </x:c>
      <x:c r="G317" s="30" t="n">
        <x:f>F317-E317</x:f>
        <x:v>100</x:v>
      </x:c>
      <x:c r="H317" s="31" t="n">
        <x:f>IFERROR(G317/E317,0)</x:f>
        <x:v>0.03225806451612903</x:v>
      </x:c>
      <x:c r="I317" s="12" t="str"/>
    </x:row>
    <x:row r="318">
      <x:c r="A318" s="26" t="n">
        <x:v>46327</x:v>
      </x:c>
      <x:c r="B318" s="12" t="str">
        <x:v>Operations</x:v>
      </x:c>
      <x:c r="C318" s="12" t="str">
        <x:v>Rent &amp; Utilities</x:v>
      </x:c>
      <x:c r="D318" s="12" t="str">
        <x:v>Operating Expense</x:v>
      </x:c>
      <x:c r="E318" s="27" t="n">
        <x:v>17700</x:v>
      </x:c>
      <x:c r="F318" s="27" t="n">
        <x:v>16100</x:v>
      </x:c>
      <x:c r="G318" s="30" t="n">
        <x:f>F318-E318</x:f>
        <x:v>-1600</x:v>
      </x:c>
      <x:c r="H318" s="31" t="n">
        <x:f>IFERROR(G318/E318,0)</x:f>
        <x:v>-0.0903954802259887</x:v>
      </x:c>
      <x:c r="I318" s="12" t="str"/>
    </x:row>
    <x:row r="319">
      <x:c r="A319" s="26" t="n">
        <x:v>46327</x:v>
      </x:c>
      <x:c r="B319" s="12" t="str">
        <x:v>Operations</x:v>
      </x:c>
      <x:c r="C319" s="12" t="str">
        <x:v>Software &amp; IT</x:v>
      </x:c>
      <x:c r="D319" s="12" t="str">
        <x:v>Operating Expense</x:v>
      </x:c>
      <x:c r="E319" s="27" t="n">
        <x:v>11700</x:v>
      </x:c>
      <x:c r="F319" s="27" t="n">
        <x:v>11000</x:v>
      </x:c>
      <x:c r="G319" s="30" t="n">
        <x:f>F319-E319</x:f>
        <x:v>-700</x:v>
      </x:c>
      <x:c r="H319" s="31" t="n">
        <x:f>IFERROR(G319/E319,0)</x:f>
        <x:v>-0.05982905982905983</x:v>
      </x:c>
      <x:c r="I319" s="12" t="str"/>
    </x:row>
    <x:row r="320">
      <x:c r="A320" s="26" t="n">
        <x:v>46327</x:v>
      </x:c>
      <x:c r="B320" s="12" t="str">
        <x:v>Finance</x:v>
      </x:c>
      <x:c r="C320" s="12" t="str">
        <x:v>Product Revenue</x:v>
      </x:c>
      <x:c r="D320" s="12" t="str">
        <x:v>Revenue</x:v>
      </x:c>
      <x:c r="E320" s="27" t="n">
        <x:v>8700</x:v>
      </x:c>
      <x:c r="F320" s="27" t="n">
        <x:v>7900</x:v>
      </x:c>
      <x:c r="G320" s="30" t="n">
        <x:f>F320-E320</x:f>
        <x:v>-800</x:v>
      </x:c>
      <x:c r="H320" s="31" t="n">
        <x:f>IFERROR(G320/E320,0)</x:f>
        <x:v>-0.09195402298850575</x:v>
      </x:c>
      <x:c r="I320" s="12" t="str"/>
    </x:row>
    <x:row r="321">
      <x:c r="A321" s="26" t="n">
        <x:v>46327</x:v>
      </x:c>
      <x:c r="B321" s="12" t="str">
        <x:v>Finance</x:v>
      </x:c>
      <x:c r="C321" s="12" t="str">
        <x:v>Service Revenue</x:v>
      </x:c>
      <x:c r="D321" s="12" t="str">
        <x:v>Revenue</x:v>
      </x:c>
      <x:c r="E321" s="27" t="n">
        <x:v>3100</x:v>
      </x:c>
      <x:c r="F321" s="27" t="n">
        <x:v>3000</x:v>
      </x:c>
      <x:c r="G321" s="30" t="n">
        <x:f>F321-E321</x:f>
        <x:v>-100</x:v>
      </x:c>
      <x:c r="H321" s="31" t="n">
        <x:f>IFERROR(G321/E321,0)</x:f>
        <x:v>-0.03225806451612903</x:v>
      </x:c>
      <x:c r="I321" s="12" t="str"/>
    </x:row>
    <x:row r="322">
      <x:c r="A322" s="26" t="n">
        <x:v>46327</x:v>
      </x:c>
      <x:c r="B322" s="12" t="str">
        <x:v>Finance</x:v>
      </x:c>
      <x:c r="C322" s="12" t="str">
        <x:v>Payroll</x:v>
      </x:c>
      <x:c r="D322" s="12" t="str">
        <x:v>Operating Expense</x:v>
      </x:c>
      <x:c r="E322" s="27" t="n">
        <x:v>39400</x:v>
      </x:c>
      <x:c r="F322" s="27" t="n">
        <x:v>40600</x:v>
      </x:c>
      <x:c r="G322" s="30" t="n">
        <x:f>F322-E322</x:f>
        <x:v>1200</x:v>
      </x:c>
      <x:c r="H322" s="31" t="n">
        <x:f>IFERROR(G322/E322,0)</x:f>
        <x:v>0.030456852791878174</x:v>
      </x:c>
      <x:c r="I322" s="12" t="str"/>
    </x:row>
    <x:row r="323">
      <x:c r="A323" s="26" t="n">
        <x:v>46327</x:v>
      </x:c>
      <x:c r="B323" s="12" t="str">
        <x:v>Finance</x:v>
      </x:c>
      <x:c r="C323" s="12" t="str">
        <x:v>Marketing Spend</x:v>
      </x:c>
      <x:c r="D323" s="12" t="str">
        <x:v>Operating Expense</x:v>
      </x:c>
      <x:c r="E323" s="27" t="n">
        <x:v>1000</x:v>
      </x:c>
      <x:c r="F323" s="27" t="n">
        <x:v>900</x:v>
      </x:c>
      <x:c r="G323" s="30" t="n">
        <x:f>F323-E323</x:f>
        <x:v>-100</x:v>
      </x:c>
      <x:c r="H323" s="31" t="n">
        <x:f>IFERROR(G323/E323,0)</x:f>
        <x:v>-0.1</x:v>
      </x:c>
      <x:c r="I323" s="12" t="str"/>
    </x:row>
    <x:row r="324">
      <x:c r="A324" s="26" t="n">
        <x:v>46327</x:v>
      </x:c>
      <x:c r="B324" s="12" t="str">
        <x:v>Finance</x:v>
      </x:c>
      <x:c r="C324" s="12" t="str">
        <x:v>Rent &amp; Utilities</x:v>
      </x:c>
      <x:c r="D324" s="12" t="str">
        <x:v>Operating Expense</x:v>
      </x:c>
      <x:c r="E324" s="27" t="n">
        <x:v>7200</x:v>
      </x:c>
      <x:c r="F324" s="27" t="n">
        <x:v>7300</x:v>
      </x:c>
      <x:c r="G324" s="30" t="n">
        <x:f>F324-E324</x:f>
        <x:v>100</x:v>
      </x:c>
      <x:c r="H324" s="31" t="n">
        <x:f>IFERROR(G324/E324,0)</x:f>
        <x:v>0.013888888888888888</x:v>
      </x:c>
      <x:c r="I324" s="12" t="str"/>
    </x:row>
    <x:row r="325">
      <x:c r="A325" s="26" t="n">
        <x:v>46327</x:v>
      </x:c>
      <x:c r="B325" s="12" t="str">
        <x:v>Finance</x:v>
      </x:c>
      <x:c r="C325" s="12" t="str">
        <x:v>Software &amp; IT</x:v>
      </x:c>
      <x:c r="D325" s="12" t="str">
        <x:v>Operating Expense</x:v>
      </x:c>
      <x:c r="E325" s="27" t="n">
        <x:v>11300</x:v>
      </x:c>
      <x:c r="F325" s="27" t="n">
        <x:v>11700</x:v>
      </x:c>
      <x:c r="G325" s="30" t="n">
        <x:f>F325-E325</x:f>
        <x:v>400</x:v>
      </x:c>
      <x:c r="H325" s="31" t="n">
        <x:f>IFERROR(G325/E325,0)</x:f>
        <x:v>0.035398230088495575</x:v>
      </x:c>
      <x:c r="I325" s="12" t="str"/>
    </x:row>
    <x:row r="326">
      <x:c r="A326" s="26" t="n">
        <x:v>46327</x:v>
      </x:c>
      <x:c r="B326" s="12" t="str">
        <x:v>HR</x:v>
      </x:c>
      <x:c r="C326" s="12" t="str">
        <x:v>Product Revenue</x:v>
      </x:c>
      <x:c r="D326" s="12" t="str">
        <x:v>Revenue</x:v>
      </x:c>
      <x:c r="E326" s="27" t="n">
        <x:v>4500</x:v>
      </x:c>
      <x:c r="F326" s="27" t="n">
        <x:v>4500</x:v>
      </x:c>
      <x:c r="G326" s="30" t="n">
        <x:f>F326-E326</x:f>
        <x:v>0</x:v>
      </x:c>
      <x:c r="H326" s="31" t="n">
        <x:f>IFERROR(G326/E326,0)</x:f>
        <x:v>0</x:v>
      </x:c>
      <x:c r="I326" s="12" t="str"/>
    </x:row>
    <x:row r="327">
      <x:c r="A327" s="26" t="n">
        <x:v>46327</x:v>
      </x:c>
      <x:c r="B327" s="12" t="str">
        <x:v>HR</x:v>
      </x:c>
      <x:c r="C327" s="12" t="str">
        <x:v>Service Revenue</x:v>
      </x:c>
      <x:c r="D327" s="12" t="str">
        <x:v>Revenue</x:v>
      </x:c>
      <x:c r="E327" s="27" t="n">
        <x:v>1500</x:v>
      </x:c>
      <x:c r="F327" s="27" t="n">
        <x:v>1400</x:v>
      </x:c>
      <x:c r="G327" s="30" t="n">
        <x:f>F327-E327</x:f>
        <x:v>-100</x:v>
      </x:c>
      <x:c r="H327" s="31" t="n">
        <x:f>IFERROR(G327/E327,0)</x:f>
        <x:v>-0.06666666666666667</x:v>
      </x:c>
      <x:c r="I327" s="12" t="str"/>
    </x:row>
    <x:row r="328">
      <x:c r="A328" s="26" t="n">
        <x:v>46327</x:v>
      </x:c>
      <x:c r="B328" s="12" t="str">
        <x:v>HR</x:v>
      </x:c>
      <x:c r="C328" s="12" t="str">
        <x:v>Payroll</x:v>
      </x:c>
      <x:c r="D328" s="12" t="str">
        <x:v>Operating Expense</x:v>
      </x:c>
      <x:c r="E328" s="27" t="n">
        <x:v>31100</x:v>
      </x:c>
      <x:c r="F328" s="27" t="n">
        <x:v>31400</x:v>
      </x:c>
      <x:c r="G328" s="30" t="n">
        <x:f>F328-E328</x:f>
        <x:v>300</x:v>
      </x:c>
      <x:c r="H328" s="31" t="n">
        <x:f>IFERROR(G328/E328,0)</x:f>
        <x:v>0.00964630225080386</x:v>
      </x:c>
      <x:c r="I328" s="12" t="str"/>
    </x:row>
    <x:row r="329">
      <x:c r="A329" s="26" t="n">
        <x:v>46327</x:v>
      </x:c>
      <x:c r="B329" s="12" t="str">
        <x:v>HR</x:v>
      </x:c>
      <x:c r="C329" s="12" t="str">
        <x:v>Marketing Spend</x:v>
      </x:c>
      <x:c r="D329" s="12" t="str">
        <x:v>Operating Expense</x:v>
      </x:c>
      <x:c r="E329" s="27" t="n">
        <x:v>2100</x:v>
      </x:c>
      <x:c r="F329" s="27" t="n">
        <x:v>2100</x:v>
      </x:c>
      <x:c r="G329" s="30" t="n">
        <x:f>F329-E329</x:f>
        <x:v>0</x:v>
      </x:c>
      <x:c r="H329" s="31" t="n">
        <x:f>IFERROR(G329/E329,0)</x:f>
        <x:v>0</x:v>
      </x:c>
      <x:c r="I329" s="12" t="str"/>
    </x:row>
    <x:row r="330">
      <x:c r="A330" s="26" t="n">
        <x:v>46327</x:v>
      </x:c>
      <x:c r="B330" s="12" t="str">
        <x:v>HR</x:v>
      </x:c>
      <x:c r="C330" s="12" t="str">
        <x:v>Rent &amp; Utilities</x:v>
      </x:c>
      <x:c r="D330" s="12" t="str">
        <x:v>Operating Expense</x:v>
      </x:c>
      <x:c r="E330" s="27" t="n">
        <x:v>4800</x:v>
      </x:c>
      <x:c r="F330" s="27" t="n">
        <x:v>5000</x:v>
      </x:c>
      <x:c r="G330" s="30" t="n">
        <x:f>F330-E330</x:f>
        <x:v>200</x:v>
      </x:c>
      <x:c r="H330" s="31" t="n">
        <x:f>IFERROR(G330/E330,0)</x:f>
        <x:v>0.041666666666666664</x:v>
      </x:c>
      <x:c r="I330" s="12" t="str"/>
    </x:row>
    <x:row r="331">
      <x:c r="A331" s="26" t="n">
        <x:v>46327</x:v>
      </x:c>
      <x:c r="B331" s="12" t="str">
        <x:v>HR</x:v>
      </x:c>
      <x:c r="C331" s="12" t="str">
        <x:v>Software &amp; IT</x:v>
      </x:c>
      <x:c r="D331" s="12" t="str">
        <x:v>Operating Expense</x:v>
      </x:c>
      <x:c r="E331" s="27" t="n">
        <x:v>4800</x:v>
      </x:c>
      <x:c r="F331" s="27" t="n">
        <x:v>4400</x:v>
      </x:c>
      <x:c r="G331" s="30" t="n">
        <x:f>F331-E331</x:f>
        <x:v>-400</x:v>
      </x:c>
      <x:c r="H331" s="31" t="n">
        <x:f>IFERROR(G331/E331,0)</x:f>
        <x:v>-0.08333333333333333</x:v>
      </x:c>
      <x:c r="I331" s="12" t="str"/>
    </x:row>
    <x:row r="332">
      <x:c r="A332" s="26" t="n">
        <x:v>46357</x:v>
      </x:c>
      <x:c r="B332" s="12" t="str">
        <x:v>Sales</x:v>
      </x:c>
      <x:c r="C332" s="12" t="str">
        <x:v>Product Revenue</x:v>
      </x:c>
      <x:c r="D332" s="12" t="str">
        <x:v>Revenue</x:v>
      </x:c>
      <x:c r="E332" s="27" t="n">
        <x:v>170100</x:v>
      </x:c>
      <x:c r="F332" s="27" t="n">
        <x:v>164500</x:v>
      </x:c>
      <x:c r="G332" s="30" t="n">
        <x:f>F332-E332</x:f>
        <x:v>-5600</x:v>
      </x:c>
      <x:c r="H332" s="31" t="n">
        <x:f>IFERROR(G332/E332,0)</x:f>
        <x:v>-0.03292181069958848</x:v>
      </x:c>
      <x:c r="I332" s="12" t="str"/>
    </x:row>
    <x:row r="333">
      <x:c r="A333" s="26" t="n">
        <x:v>46357</x:v>
      </x:c>
      <x:c r="B333" s="12" t="str">
        <x:v>Sales</x:v>
      </x:c>
      <x:c r="C333" s="12" t="str">
        <x:v>Service Revenue</x:v>
      </x:c>
      <x:c r="D333" s="12" t="str">
        <x:v>Revenue</x:v>
      </x:c>
      <x:c r="E333" s="27" t="n">
        <x:v>61600</x:v>
      </x:c>
      <x:c r="F333" s="27" t="n">
        <x:v>57000</x:v>
      </x:c>
      <x:c r="G333" s="30" t="n">
        <x:f>F333-E333</x:f>
        <x:v>-4600</x:v>
      </x:c>
      <x:c r="H333" s="31" t="n">
        <x:f>IFERROR(G333/E333,0)</x:f>
        <x:v>-0.07467532467532467</x:v>
      </x:c>
      <x:c r="I333" s="12" t="str"/>
    </x:row>
    <x:row r="334">
      <x:c r="A334" s="26" t="n">
        <x:v>46357</x:v>
      </x:c>
      <x:c r="B334" s="12" t="str">
        <x:v>Sales</x:v>
      </x:c>
      <x:c r="C334" s="12" t="str">
        <x:v>Payroll</x:v>
      </x:c>
      <x:c r="D334" s="12" t="str">
        <x:v>Operating Expense</x:v>
      </x:c>
      <x:c r="E334" s="27" t="n">
        <x:v>53100</x:v>
      </x:c>
      <x:c r="F334" s="27" t="n">
        <x:v>55400</x:v>
      </x:c>
      <x:c r="G334" s="30" t="n">
        <x:f>F334-E334</x:f>
        <x:v>2300</x:v>
      </x:c>
      <x:c r="H334" s="31" t="n">
        <x:f>IFERROR(G334/E334,0)</x:f>
        <x:v>0.04331450094161959</x:v>
      </x:c>
      <x:c r="I334" s="12" t="str"/>
    </x:row>
    <x:row r="335">
      <x:c r="A335" s="26" t="n">
        <x:v>46357</x:v>
      </x:c>
      <x:c r="B335" s="12" t="str">
        <x:v>Sales</x:v>
      </x:c>
      <x:c r="C335" s="12" t="str">
        <x:v>Marketing Spend</x:v>
      </x:c>
      <x:c r="D335" s="12" t="str">
        <x:v>Operating Expense</x:v>
      </x:c>
      <x:c r="E335" s="27" t="n">
        <x:v>10200</x:v>
      </x:c>
      <x:c r="F335" s="27" t="n">
        <x:v>9600</x:v>
      </x:c>
      <x:c r="G335" s="30" t="n">
        <x:f>F335-E335</x:f>
        <x:v>-600</x:v>
      </x:c>
      <x:c r="H335" s="31" t="n">
        <x:f>IFERROR(G335/E335,0)</x:f>
        <x:v>-0.058823529411764705</x:v>
      </x:c>
      <x:c r="I335" s="12" t="str"/>
    </x:row>
    <x:row r="336">
      <x:c r="A336" s="26" t="n">
        <x:v>46357</x:v>
      </x:c>
      <x:c r="B336" s="12" t="str">
        <x:v>Sales</x:v>
      </x:c>
      <x:c r="C336" s="12" t="str">
        <x:v>Rent &amp; Utilities</x:v>
      </x:c>
      <x:c r="D336" s="12" t="str">
        <x:v>Operating Expense</x:v>
      </x:c>
      <x:c r="E336" s="27" t="n">
        <x:v>8000</x:v>
      </x:c>
      <x:c r="F336" s="27" t="n">
        <x:v>8000</x:v>
      </x:c>
      <x:c r="G336" s="30" t="n">
        <x:f>F336-E336</x:f>
        <x:v>0</x:v>
      </x:c>
      <x:c r="H336" s="31" t="n">
        <x:f>IFERROR(G336/E336,0)</x:f>
        <x:v>0</x:v>
      </x:c>
      <x:c r="I336" s="12" t="str"/>
    </x:row>
    <x:row r="337">
      <x:c r="A337" s="26" t="n">
        <x:v>46357</x:v>
      </x:c>
      <x:c r="B337" s="12" t="str">
        <x:v>Sales</x:v>
      </x:c>
      <x:c r="C337" s="12" t="str">
        <x:v>Software &amp; IT</x:v>
      </x:c>
      <x:c r="D337" s="12" t="str">
        <x:v>Operating Expense</x:v>
      </x:c>
      <x:c r="E337" s="27" t="n">
        <x:v>7000</x:v>
      </x:c>
      <x:c r="F337" s="27" t="n">
        <x:v>7800</x:v>
      </x:c>
      <x:c r="G337" s="30" t="n">
        <x:f>F337-E337</x:f>
        <x:v>800</x:v>
      </x:c>
      <x:c r="H337" s="31" t="n">
        <x:f>IFERROR(G337/E337,0)</x:f>
        <x:v>0.11428571428571428</x:v>
      </x:c>
      <x:c r="I337" s="12" t="str"/>
    </x:row>
    <x:row r="338">
      <x:c r="A338" s="26" t="n">
        <x:v>46357</x:v>
      </x:c>
      <x:c r="B338" s="12" t="str">
        <x:v>Marketing</x:v>
      </x:c>
      <x:c r="C338" s="12" t="str">
        <x:v>Product Revenue</x:v>
      </x:c>
      <x:c r="D338" s="12" t="str">
        <x:v>Revenue</x:v>
      </x:c>
      <x:c r="E338" s="27" t="n">
        <x:v>29300</x:v>
      </x:c>
      <x:c r="F338" s="27" t="n">
        <x:v>28300</x:v>
      </x:c>
      <x:c r="G338" s="30" t="n">
        <x:f>F338-E338</x:f>
        <x:v>-1000</x:v>
      </x:c>
      <x:c r="H338" s="31" t="n">
        <x:f>IFERROR(G338/E338,0)</x:f>
        <x:v>-0.034129692832764506</x:v>
      </x:c>
      <x:c r="I338" s="12" t="str"/>
    </x:row>
    <x:row r="339">
      <x:c r="A339" s="26" t="n">
        <x:v>46357</x:v>
      </x:c>
      <x:c r="B339" s="12" t="str">
        <x:v>Marketing</x:v>
      </x:c>
      <x:c r="C339" s="12" t="str">
        <x:v>Service Revenue</x:v>
      </x:c>
      <x:c r="D339" s="12" t="str">
        <x:v>Revenue</x:v>
      </x:c>
      <x:c r="E339" s="27" t="n">
        <x:v>10000</x:v>
      </x:c>
      <x:c r="F339" s="27" t="n">
        <x:v>10300</x:v>
      </x:c>
      <x:c r="G339" s="30" t="n">
        <x:f>F339-E339</x:f>
        <x:v>300</x:v>
      </x:c>
      <x:c r="H339" s="31" t="n">
        <x:f>IFERROR(G339/E339,0)</x:f>
        <x:v>0.03</x:v>
      </x:c>
      <x:c r="I339" s="12" t="str"/>
    </x:row>
    <x:row r="340">
      <x:c r="A340" s="26" t="n">
        <x:v>46357</x:v>
      </x:c>
      <x:c r="B340" s="12" t="str">
        <x:v>Marketing</x:v>
      </x:c>
      <x:c r="C340" s="12" t="str">
        <x:v>Payroll</x:v>
      </x:c>
      <x:c r="D340" s="12" t="str">
        <x:v>Operating Expense</x:v>
      </x:c>
      <x:c r="E340" s="27" t="n">
        <x:v>34700</x:v>
      </x:c>
      <x:c r="F340" s="27" t="n">
        <x:v>39400</x:v>
      </x:c>
      <x:c r="G340" s="30" t="n">
        <x:f>F340-E340</x:f>
        <x:v>4700</x:v>
      </x:c>
      <x:c r="H340" s="31" t="n">
        <x:f>IFERROR(G340/E340,0)</x:f>
        <x:v>0.13544668587896252</x:v>
      </x:c>
      <x:c r="I340" s="12" t="str"/>
    </x:row>
    <x:row r="341">
      <x:c r="A341" s="26" t="n">
        <x:v>46357</x:v>
      </x:c>
      <x:c r="B341" s="12" t="str">
        <x:v>Marketing</x:v>
      </x:c>
      <x:c r="C341" s="12" t="str">
        <x:v>Marketing Spend</x:v>
      </x:c>
      <x:c r="D341" s="12" t="str">
        <x:v>Operating Expense</x:v>
      </x:c>
      <x:c r="E341" s="27" t="n">
        <x:v>43900</x:v>
      </x:c>
      <x:c r="F341" s="27" t="n">
        <x:v>41100</x:v>
      </x:c>
      <x:c r="G341" s="30" t="n">
        <x:f>F341-E341</x:f>
        <x:v>-2800</x:v>
      </x:c>
      <x:c r="H341" s="31" t="n">
        <x:f>IFERROR(G341/E341,0)</x:f>
        <x:v>-0.06378132118451026</x:v>
      </x:c>
      <x:c r="I341" s="12" t="str"/>
    </x:row>
    <x:row r="342">
      <x:c r="A342" s="26" t="n">
        <x:v>46357</x:v>
      </x:c>
      <x:c r="B342" s="12" t="str">
        <x:v>Marketing</x:v>
      </x:c>
      <x:c r="C342" s="12" t="str">
        <x:v>Rent &amp; Utilities</x:v>
      </x:c>
      <x:c r="D342" s="12" t="str">
        <x:v>Operating Expense</x:v>
      </x:c>
      <x:c r="E342" s="27" t="n">
        <x:v>6100</x:v>
      </x:c>
      <x:c r="F342" s="27" t="n">
        <x:v>5600</x:v>
      </x:c>
      <x:c r="G342" s="30" t="n">
        <x:f>F342-E342</x:f>
        <x:v>-500</x:v>
      </x:c>
      <x:c r="H342" s="31" t="n">
        <x:f>IFERROR(G342/E342,0)</x:f>
        <x:v>-0.08196721311475409</x:v>
      </x:c>
      <x:c r="I342" s="12" t="str"/>
    </x:row>
    <x:row r="343">
      <x:c r="A343" s="26" t="n">
        <x:v>46357</x:v>
      </x:c>
      <x:c r="B343" s="12" t="str">
        <x:v>Marketing</x:v>
      </x:c>
      <x:c r="C343" s="12" t="str">
        <x:v>Software &amp; IT</x:v>
      </x:c>
      <x:c r="D343" s="12" t="str">
        <x:v>Operating Expense</x:v>
      </x:c>
      <x:c r="E343" s="27" t="n">
        <x:v>8800</x:v>
      </x:c>
      <x:c r="F343" s="27" t="n">
        <x:v>7900</x:v>
      </x:c>
      <x:c r="G343" s="30" t="n">
        <x:f>F343-E343</x:f>
        <x:v>-900</x:v>
      </x:c>
      <x:c r="H343" s="31" t="n">
        <x:f>IFERROR(G343/E343,0)</x:f>
        <x:v>-0.10227272727272728</x:v>
      </x:c>
      <x:c r="I343" s="12" t="str"/>
    </x:row>
    <x:row r="344">
      <x:c r="A344" s="26" t="n">
        <x:v>46357</x:v>
      </x:c>
      <x:c r="B344" s="12" t="str">
        <x:v>Operations</x:v>
      </x:c>
      <x:c r="C344" s="12" t="str">
        <x:v>Product Revenue</x:v>
      </x:c>
      <x:c r="D344" s="12" t="str">
        <x:v>Revenue</x:v>
      </x:c>
      <x:c r="E344" s="27" t="n">
        <x:v>18100</x:v>
      </x:c>
      <x:c r="F344" s="27" t="n">
        <x:v>18100</x:v>
      </x:c>
      <x:c r="G344" s="30" t="n">
        <x:f>F344-E344</x:f>
        <x:v>0</x:v>
      </x:c>
      <x:c r="H344" s="31" t="n">
        <x:f>IFERROR(G344/E344,0)</x:f>
        <x:v>0</x:v>
      </x:c>
      <x:c r="I344" s="12" t="str"/>
    </x:row>
    <x:row r="345">
      <x:c r="A345" s="26" t="n">
        <x:v>46357</x:v>
      </x:c>
      <x:c r="B345" s="12" t="str">
        <x:v>Operations</x:v>
      </x:c>
      <x:c r="C345" s="12" t="str">
        <x:v>Service Revenue</x:v>
      </x:c>
      <x:c r="D345" s="12" t="str">
        <x:v>Revenue</x:v>
      </x:c>
      <x:c r="E345" s="27" t="n">
        <x:v>6600</x:v>
      </x:c>
      <x:c r="F345" s="27" t="n">
        <x:v>6400</x:v>
      </x:c>
      <x:c r="G345" s="30" t="n">
        <x:f>F345-E345</x:f>
        <x:v>-200</x:v>
      </x:c>
      <x:c r="H345" s="31" t="n">
        <x:f>IFERROR(G345/E345,0)</x:f>
        <x:v>-0.030303030303030304</x:v>
      </x:c>
      <x:c r="I345" s="12" t="str"/>
    </x:row>
    <x:row r="346">
      <x:c r="A346" s="26" t="n">
        <x:v>46357</x:v>
      </x:c>
      <x:c r="B346" s="12" t="str">
        <x:v>Operations</x:v>
      </x:c>
      <x:c r="C346" s="12" t="str">
        <x:v>Payroll</x:v>
      </x:c>
      <x:c r="D346" s="12" t="str">
        <x:v>Operating Expense</x:v>
      </x:c>
      <x:c r="E346" s="27" t="n">
        <x:v>58700</x:v>
      </x:c>
      <x:c r="F346" s="27" t="n">
        <x:v>62900</x:v>
      </x:c>
      <x:c r="G346" s="30" t="n">
        <x:f>F346-E346</x:f>
        <x:v>4200</x:v>
      </x:c>
      <x:c r="H346" s="31" t="n">
        <x:f>IFERROR(G346/E346,0)</x:f>
        <x:v>0.07155025553662692</x:v>
      </x:c>
      <x:c r="I346" s="12" t="str"/>
    </x:row>
    <x:row r="347">
      <x:c r="A347" s="26" t="n">
        <x:v>46357</x:v>
      </x:c>
      <x:c r="B347" s="12" t="str">
        <x:v>Operations</x:v>
      </x:c>
      <x:c r="C347" s="12" t="str">
        <x:v>Marketing Spend</x:v>
      </x:c>
      <x:c r="D347" s="12" t="str">
        <x:v>Operating Expense</x:v>
      </x:c>
      <x:c r="E347" s="27" t="n">
        <x:v>3000</x:v>
      </x:c>
      <x:c r="F347" s="27" t="n">
        <x:v>3000</x:v>
      </x:c>
      <x:c r="G347" s="30" t="n">
        <x:f>F347-E347</x:f>
        <x:v>0</x:v>
      </x:c>
      <x:c r="H347" s="31" t="n">
        <x:f>IFERROR(G347/E347,0)</x:f>
        <x:v>0</x:v>
      </x:c>
      <x:c r="I347" s="12" t="str"/>
    </x:row>
    <x:row r="348">
      <x:c r="A348" s="26" t="n">
        <x:v>46357</x:v>
      </x:c>
      <x:c r="B348" s="12" t="str">
        <x:v>Operations</x:v>
      </x:c>
      <x:c r="C348" s="12" t="str">
        <x:v>Rent &amp; Utilities</x:v>
      </x:c>
      <x:c r="D348" s="12" t="str">
        <x:v>Operating Expense</x:v>
      </x:c>
      <x:c r="E348" s="27" t="n">
        <x:v>18300</x:v>
      </x:c>
      <x:c r="F348" s="27" t="n">
        <x:v>20700</x:v>
      </x:c>
      <x:c r="G348" s="30" t="n">
        <x:f>F348-E348</x:f>
        <x:v>2400</x:v>
      </x:c>
      <x:c r="H348" s="31" t="n">
        <x:f>IFERROR(G348/E348,0)</x:f>
        <x:v>0.13114754098360656</x:v>
      </x:c>
      <x:c r="I348" s="12" t="str"/>
    </x:row>
    <x:row r="349">
      <x:c r="A349" s="26" t="n">
        <x:v>46357</x:v>
      </x:c>
      <x:c r="B349" s="12" t="str">
        <x:v>Operations</x:v>
      </x:c>
      <x:c r="C349" s="12" t="str">
        <x:v>Software &amp; IT</x:v>
      </x:c>
      <x:c r="D349" s="12" t="str">
        <x:v>Operating Expense</x:v>
      </x:c>
      <x:c r="E349" s="27" t="n">
        <x:v>12300</x:v>
      </x:c>
      <x:c r="F349" s="27" t="n">
        <x:v>12900</x:v>
      </x:c>
      <x:c r="G349" s="30" t="n">
        <x:f>F349-E349</x:f>
        <x:v>600</x:v>
      </x:c>
      <x:c r="H349" s="31" t="n">
        <x:f>IFERROR(G349/E349,0)</x:f>
        <x:v>0.04878048780487805</x:v>
      </x:c>
      <x:c r="I349" s="12" t="str"/>
    </x:row>
    <x:row r="350">
      <x:c r="A350" s="26" t="n">
        <x:v>46357</x:v>
      </x:c>
      <x:c r="B350" s="12" t="str">
        <x:v>Finance</x:v>
      </x:c>
      <x:c r="C350" s="12" t="str">
        <x:v>Product Revenue</x:v>
      </x:c>
      <x:c r="D350" s="12" t="str">
        <x:v>Revenue</x:v>
      </x:c>
      <x:c r="E350" s="27" t="n">
        <x:v>9500</x:v>
      </x:c>
      <x:c r="F350" s="27" t="n">
        <x:v>10500</x:v>
      </x:c>
      <x:c r="G350" s="30" t="n">
        <x:f>F350-E350</x:f>
        <x:v>1000</x:v>
      </x:c>
      <x:c r="H350" s="31" t="n">
        <x:f>IFERROR(G350/E350,0)</x:f>
        <x:v>0.10526315789473684</x:v>
      </x:c>
      <x:c r="I350" s="12" t="str"/>
    </x:row>
    <x:row r="351">
      <x:c r="A351" s="26" t="n">
        <x:v>46357</x:v>
      </x:c>
      <x:c r="B351" s="12" t="str">
        <x:v>Finance</x:v>
      </x:c>
      <x:c r="C351" s="12" t="str">
        <x:v>Service Revenue</x:v>
      </x:c>
      <x:c r="D351" s="12" t="str">
        <x:v>Revenue</x:v>
      </x:c>
      <x:c r="E351" s="27" t="n">
        <x:v>3300</x:v>
      </x:c>
      <x:c r="F351" s="27" t="n">
        <x:v>3400</x:v>
      </x:c>
      <x:c r="G351" s="30" t="n">
        <x:f>F351-E351</x:f>
        <x:v>100</x:v>
      </x:c>
      <x:c r="H351" s="31" t="n">
        <x:f>IFERROR(G351/E351,0)</x:f>
        <x:v>0.030303030303030304</x:v>
      </x:c>
      <x:c r="I351" s="12" t="str"/>
    </x:row>
    <x:row r="352">
      <x:c r="A352" s="26" t="n">
        <x:v>46357</x:v>
      </x:c>
      <x:c r="B352" s="12" t="str">
        <x:v>Finance</x:v>
      </x:c>
      <x:c r="C352" s="12" t="str">
        <x:v>Payroll</x:v>
      </x:c>
      <x:c r="D352" s="12" t="str">
        <x:v>Operating Expense</x:v>
      </x:c>
      <x:c r="E352" s="27" t="n">
        <x:v>38400</x:v>
      </x:c>
      <x:c r="F352" s="27" t="n">
        <x:v>43200</x:v>
      </x:c>
      <x:c r="G352" s="30" t="n">
        <x:f>F352-E352</x:f>
        <x:v>4800</x:v>
      </x:c>
      <x:c r="H352" s="31" t="n">
        <x:f>IFERROR(G352/E352,0)</x:f>
        <x:v>0.125</x:v>
      </x:c>
      <x:c r="I352" s="12" t="str"/>
    </x:row>
    <x:row r="353">
      <x:c r="A353" s="26" t="n">
        <x:v>46357</x:v>
      </x:c>
      <x:c r="B353" s="12" t="str">
        <x:v>Finance</x:v>
      </x:c>
      <x:c r="C353" s="12" t="str">
        <x:v>Marketing Spend</x:v>
      </x:c>
      <x:c r="D353" s="12" t="str">
        <x:v>Operating Expense</x:v>
      </x:c>
      <x:c r="E353" s="27" t="n">
        <x:v>1000</x:v>
      </x:c>
      <x:c r="F353" s="27" t="n">
        <x:v>900</x:v>
      </x:c>
      <x:c r="G353" s="30" t="n">
        <x:f>F353-E353</x:f>
        <x:v>-100</x:v>
      </x:c>
      <x:c r="H353" s="31" t="n">
        <x:f>IFERROR(G353/E353,0)</x:f>
        <x:v>-0.1</x:v>
      </x:c>
      <x:c r="I353" s="12" t="str"/>
    </x:row>
    <x:row r="354">
      <x:c r="A354" s="26" t="n">
        <x:v>46357</x:v>
      </x:c>
      <x:c r="B354" s="12" t="str">
        <x:v>Finance</x:v>
      </x:c>
      <x:c r="C354" s="12" t="str">
        <x:v>Rent &amp; Utilities</x:v>
      </x:c>
      <x:c r="D354" s="12" t="str">
        <x:v>Operating Expense</x:v>
      </x:c>
      <x:c r="E354" s="27" t="n">
        <x:v>6800</x:v>
      </x:c>
      <x:c r="F354" s="27" t="n">
        <x:v>6500</x:v>
      </x:c>
      <x:c r="G354" s="30" t="n">
        <x:f>F354-E354</x:f>
        <x:v>-300</x:v>
      </x:c>
      <x:c r="H354" s="31" t="n">
        <x:f>IFERROR(G354/E354,0)</x:f>
        <x:v>-0.04411764705882353</x:v>
      </x:c>
      <x:c r="I354" s="12" t="str"/>
    </x:row>
    <x:row r="355">
      <x:c r="A355" s="26" t="n">
        <x:v>46357</x:v>
      </x:c>
      <x:c r="B355" s="12" t="str">
        <x:v>Finance</x:v>
      </x:c>
      <x:c r="C355" s="12" t="str">
        <x:v>Software &amp; IT</x:v>
      </x:c>
      <x:c r="D355" s="12" t="str">
        <x:v>Operating Expense</x:v>
      </x:c>
      <x:c r="E355" s="27" t="n">
        <x:v>11200</x:v>
      </x:c>
      <x:c r="F355" s="27" t="n">
        <x:v>11600</x:v>
      </x:c>
      <x:c r="G355" s="30" t="n">
        <x:f>F355-E355</x:f>
        <x:v>400</x:v>
      </x:c>
      <x:c r="H355" s="31" t="n">
        <x:f>IFERROR(G355/E355,0)</x:f>
        <x:v>0.03571428571428571</x:v>
      </x:c>
      <x:c r="I355" s="12" t="str"/>
    </x:row>
    <x:row r="356">
      <x:c r="A356" s="26" t="n">
        <x:v>46357</x:v>
      </x:c>
      <x:c r="B356" s="12" t="str">
        <x:v>HR</x:v>
      </x:c>
      <x:c r="C356" s="12" t="str">
        <x:v>Product Revenue</x:v>
      </x:c>
      <x:c r="D356" s="12" t="str">
        <x:v>Revenue</x:v>
      </x:c>
      <x:c r="E356" s="27" t="n">
        <x:v>4600</x:v>
      </x:c>
      <x:c r="F356" s="27" t="n">
        <x:v>4300</x:v>
      </x:c>
      <x:c r="G356" s="30" t="n">
        <x:f>F356-E356</x:f>
        <x:v>-300</x:v>
      </x:c>
      <x:c r="H356" s="31" t="n">
        <x:f>IFERROR(G356/E356,0)</x:f>
        <x:v>-0.06521739130434782</x:v>
      </x:c>
      <x:c r="I356" s="12" t="str"/>
    </x:row>
    <x:row r="357">
      <x:c r="A357" s="26" t="n">
        <x:v>46357</x:v>
      </x:c>
      <x:c r="B357" s="12" t="str">
        <x:v>HR</x:v>
      </x:c>
      <x:c r="C357" s="12" t="str">
        <x:v>Service Revenue</x:v>
      </x:c>
      <x:c r="D357" s="12" t="str">
        <x:v>Revenue</x:v>
      </x:c>
      <x:c r="E357" s="27" t="n">
        <x:v>1700</x:v>
      </x:c>
      <x:c r="F357" s="27" t="n">
        <x:v>1800</x:v>
      </x:c>
      <x:c r="G357" s="30" t="n">
        <x:f>F357-E357</x:f>
        <x:v>100</x:v>
      </x:c>
      <x:c r="H357" s="31" t="n">
        <x:f>IFERROR(G357/E357,0)</x:f>
        <x:v>0.058823529411764705</x:v>
      </x:c>
      <x:c r="I357" s="12" t="str"/>
    </x:row>
    <x:row r="358">
      <x:c r="A358" s="26" t="n">
        <x:v>46357</x:v>
      </x:c>
      <x:c r="B358" s="12" t="str">
        <x:v>HR</x:v>
      </x:c>
      <x:c r="C358" s="12" t="str">
        <x:v>Payroll</x:v>
      </x:c>
      <x:c r="D358" s="12" t="str">
        <x:v>Operating Expense</x:v>
      </x:c>
      <x:c r="E358" s="27" t="n">
        <x:v>31100</x:v>
      </x:c>
      <x:c r="F358" s="27" t="n">
        <x:v>31600</x:v>
      </x:c>
      <x:c r="G358" s="30" t="n">
        <x:f>F358-E358</x:f>
        <x:v>500</x:v>
      </x:c>
      <x:c r="H358" s="31" t="n">
        <x:f>IFERROR(G358/E358,0)</x:f>
        <x:v>0.01607717041800643</x:v>
      </x:c>
      <x:c r="I358" s="12" t="str"/>
    </x:row>
    <x:row r="359">
      <x:c r="A359" s="26" t="n">
        <x:v>46357</x:v>
      </x:c>
      <x:c r="B359" s="12" t="str">
        <x:v>HR</x:v>
      </x:c>
      <x:c r="C359" s="12" t="str">
        <x:v>Marketing Spend</x:v>
      </x:c>
      <x:c r="D359" s="12" t="str">
        <x:v>Operating Expense</x:v>
      </x:c>
      <x:c r="E359" s="27" t="n">
        <x:v>2000</x:v>
      </x:c>
      <x:c r="F359" s="27" t="n">
        <x:v>1800</x:v>
      </x:c>
      <x:c r="G359" s="30" t="n">
        <x:f>F359-E359</x:f>
        <x:v>-200</x:v>
      </x:c>
      <x:c r="H359" s="31" t="n">
        <x:f>IFERROR(G359/E359,0)</x:f>
        <x:v>-0.1</x:v>
      </x:c>
      <x:c r="I359" s="12" t="str"/>
    </x:row>
    <x:row r="360">
      <x:c r="A360" s="26" t="n">
        <x:v>46357</x:v>
      </x:c>
      <x:c r="B360" s="12" t="str">
        <x:v>HR</x:v>
      </x:c>
      <x:c r="C360" s="12" t="str">
        <x:v>Rent &amp; Utilities</x:v>
      </x:c>
      <x:c r="D360" s="12" t="str">
        <x:v>Operating Expense</x:v>
      </x:c>
      <x:c r="E360" s="27" t="n">
        <x:v>4800</x:v>
      </x:c>
      <x:c r="F360" s="27" t="n">
        <x:v>4800</x:v>
      </x:c>
      <x:c r="G360" s="30" t="n">
        <x:f>F360-E360</x:f>
        <x:v>0</x:v>
      </x:c>
      <x:c r="H360" s="31" t="n">
        <x:f>IFERROR(G360/E360,0)</x:f>
        <x:v>0</x:v>
      </x:c>
      <x:c r="I360" s="12" t="str"/>
    </x:row>
    <x:row r="361">
      <x:c r="A361" s="26" t="n">
        <x:v>46357</x:v>
      </x:c>
      <x:c r="B361" s="12" t="str">
        <x:v>HR</x:v>
      </x:c>
      <x:c r="C361" s="12" t="str">
        <x:v>Software &amp; IT</x:v>
      </x:c>
      <x:c r="D361" s="12" t="str">
        <x:v>Operating Expense</x:v>
      </x:c>
      <x:c r="E361" s="27" t="n">
        <x:v>4900</x:v>
      </x:c>
      <x:c r="F361" s="27" t="n">
        <x:v>4600</x:v>
      </x:c>
      <x:c r="G361" s="30" t="n">
        <x:f>F361-E361</x:f>
        <x:v>-300</x:v>
      </x:c>
      <x:c r="H361" s="31" t="n">
        <x:f>IFERROR(G361/E361,0)</x:f>
        <x:v>-0.061224489795918366</x:v>
      </x:c>
      <x:c r="I361" s="12" t="str"/>
    </x:row>
  </x:sheetData>
  <x:conditionalFormatting sqref="H2:H361">
    <x:cfRule type="expression" dxfId="0" priority="1">
      <x:formula>AND($D2="Revenue",H2&lt;0)</x:formula>
    </x:cfRule>
    <x:cfRule type="expression" dxfId="1" priority="2">
      <x:formula>AND($D2="Revenue",H2&gt;0)</x:formula>
    </x:cfRule>
    <x:cfRule type="expression" dxfId="2" priority="3">
      <x:formula>AND($D2="Operating Expense",H2&gt;0)</x:formula>
    </x:cfRule>
    <x:cfRule type="expression" dxfId="3" priority="4">
      <x:formula>AND($D2="Operating Expense",H2&lt;0)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c0d70e9dd84c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25.1299991607666" hidden="0" customWidth="1"/>
    <x:col min="11" max="11" width="8.380000114440918" hidden="0" customWidth="1"/>
    <x:col min="12" max="12" width="7.880000114440918" hidden="0" customWidth="1"/>
    <x:col min="13" max="13" width="9.630000114440918" hidden="0" customWidth="1"/>
    <x:col min="14" max="14" width="10" hidden="0" customWidth="1"/>
    <x:col min="15" max="15" width="7" hidden="0" customWidth="1"/>
  </x:cols>
  <x:sheetData>
    <x:row r="1">
      <x:c r="A1" s="3" t="str">
        <x:v>MONTHLY BUDGET VS ACTUAL ANALYSIS</x:v>
      </x:c>
      <x:c r="B1" s="3"/>
      <x:c r="C1" s="3"/>
      <x:c r="D1" s="3"/>
      <x:c r="E1" s="3"/>
      <x:c r="F1" s="3"/>
      <x:c r="G1" s="3"/>
      <x:c r="H1" s="3"/>
      <x:c r="J1" s="3" t="str">
        <x:v>DEPARTMENT SUMMARY</x:v>
      </x:c>
      <x:c r="K1" s="3"/>
      <x:c r="L1" s="3"/>
      <x:c r="M1" s="3"/>
      <x:c r="N1" s="3"/>
      <x:c r="O1" s="3"/>
    </x:row>
    <x:row r="3">
      <x:c r="A3" s="36" t="str">
        <x:v>Month</x:v>
      </x:c>
      <x:c r="B3" s="36" t="str">
        <x:v>Revenue Budget (£)</x:v>
      </x:c>
      <x:c r="C3" s="36" t="str">
        <x:v>Revenue Actual (£)</x:v>
      </x:c>
      <x:c r="D3" s="36" t="str">
        <x:v>Revenue Var (£)</x:v>
      </x:c>
      <x:c r="E3" s="36" t="str">
        <x:v>Expense Budget (£)</x:v>
      </x:c>
      <x:c r="F3" s="36" t="str">
        <x:v>Expense Actual (£)</x:v>
      </x:c>
      <x:c r="G3" s="36" t="str">
        <x:v>Expense Var (£)</x:v>
      </x:c>
      <x:c r="H3" s="36" t="str">
        <x:v>Operating Profit Var (£)</x:v>
      </x:c>
      <x:c r="J3" s="34" t="str">
        <x:v>Department</x:v>
      </x:c>
      <x:c r="K3" s="34" t="str">
        <x:v>Budget (£)</x:v>
      </x:c>
      <x:c r="L3" s="34" t="str">
        <x:v>Actual (£)</x:v>
      </x:c>
      <x:c r="M3" s="34" t="str">
        <x:v>Variance (£)</x:v>
      </x:c>
      <x:c r="N3" s="34" t="str">
        <x:v>Variance (%)</x:v>
      </x:c>
      <x:c r="O3" s="34" t="str">
        <x:v>Status</x:v>
      </x:c>
    </x:row>
    <x:row r="4">
      <x:c r="A4" s="48" t="n">
        <x:v>46023</x:v>
      </x:c>
      <x:c r="B4" s="30" t="n">
        <x:f>SUMIFS(Raw_Data!$E:$E,Raw_Data!$A:$A,$A4,Raw_Data!$D:$D,"Revenue")</x:f>
        <x:v>331600</x:v>
      </x:c>
      <x:c r="C4" s="30" t="n">
        <x:f>SUMIFS(Raw_Data!$F:$F,Raw_Data!$A:$A,$A4,Raw_Data!$D:$D,"Revenue")</x:f>
        <x:v>309100</x:v>
      </x:c>
      <x:c r="D4" s="30" t="n">
        <x:f>C4-B4</x:f>
        <x:v>-22500</x:v>
      </x:c>
      <x:c r="E4" s="30" t="n">
        <x:f>SUMIFS(Raw_Data!$E:$E,Raw_Data!$A:$A,$A4,Raw_Data!$D:$D,"Operating Expense")</x:f>
        <x:v>365400</x:v>
      </x:c>
      <x:c r="F4" s="30" t="n">
        <x:f>SUMIFS(Raw_Data!$F:$F,Raw_Data!$A:$A,$A4,Raw_Data!$D:$D,"Operating Expense")</x:f>
        <x:v>367400</x:v>
      </x:c>
      <x:c r="G4" s="30" t="n">
        <x:f>F4-E4</x:f>
        <x:v>2000</x:v>
      </x:c>
      <x:c r="H4" s="30" t="n">
        <x:f>(C4-F4)-(B4-E4)</x:f>
        <x:v>-24500</x:v>
      </x:c>
      <x:c r="J4" s="50" t="str">
        <x:v>Sales</x:v>
      </x:c>
      <x:c r="K4" s="30" t="n">
        <x:f>SUMIFS(Raw_Data!$E:$E,Raw_Data!$B:$B,$J4)</x:f>
        <x:v>3865500</x:v>
      </x:c>
      <x:c r="L4" s="30" t="n">
        <x:f>SUMIFS(Raw_Data!$F:$F,Raw_Data!$B:$B,$J4)</x:f>
        <x:v>3914500</x:v>
      </x:c>
      <x:c r="M4" s="30" t="n">
        <x:f>L4-K4</x:f>
        <x:v>49000</x:v>
      </x:c>
      <x:c r="N4" s="31" t="n">
        <x:f>IFERROR(M4/K4,0)</x:f>
        <x:v>0.012676238520243176</x:v>
      </x:c>
      <x:c r="O4" s="52" t="str">
        <x:f>IF(ABS(N4)&lt;0.05,"On Track",IF(N4&gt;0,"Over Budget","Under Budget"))</x:f>
        <x:v>On Track</x:v>
      </x:c>
    </x:row>
    <x:row r="5">
      <x:c r="A5" s="48" t="n">
        <x:v>46054</x:v>
      </x:c>
      <x:c r="B5" s="30" t="n">
        <x:f>SUMIFS(Raw_Data!$E:$E,Raw_Data!$A:$A,$A5,Raw_Data!$D:$D,"Revenue")</x:f>
        <x:v>360200</x:v>
      </x:c>
      <x:c r="C5" s="30" t="n">
        <x:f>SUMIFS(Raw_Data!$F:$F,Raw_Data!$A:$A,$A5,Raw_Data!$D:$D,"Revenue")</x:f>
        <x:v>370600</x:v>
      </x:c>
      <x:c r="D5" s="30" t="n">
        <x:f>C5-B5</x:f>
        <x:v>10400</x:v>
      </x:c>
      <x:c r="E5" s="30" t="n">
        <x:f>SUMIFS(Raw_Data!$E:$E,Raw_Data!$A:$A,$A5,Raw_Data!$D:$D,"Operating Expense")</x:f>
        <x:v>360300</x:v>
      </x:c>
      <x:c r="F5" s="30" t="n">
        <x:f>SUMIFS(Raw_Data!$F:$F,Raw_Data!$A:$A,$A5,Raw_Data!$D:$D,"Operating Expense")</x:f>
        <x:v>357600</x:v>
      </x:c>
      <x:c r="G5" s="30" t="n">
        <x:f>F5-E5</x:f>
        <x:v>-2700</x:v>
      </x:c>
      <x:c r="H5" s="30" t="n">
        <x:f>(C5-F5)-(B5-E5)</x:f>
        <x:v>13100</x:v>
      </x:c>
      <x:c r="J5" s="50" t="str">
        <x:v>Marketing</x:v>
      </x:c>
      <x:c r="K5" s="30" t="n">
        <x:f>SUMIFS(Raw_Data!$E:$E,Raw_Data!$B:$B,$J5)</x:f>
        <x:v>1612400</x:v>
      </x:c>
      <x:c r="L5" s="30" t="n">
        <x:f>SUMIFS(Raw_Data!$F:$F,Raw_Data!$B:$B,$J5)</x:f>
        <x:v>1634800</x:v>
      </x:c>
      <x:c r="M5" s="30" t="n">
        <x:f>L5-K5</x:f>
        <x:v>22400</x:v>
      </x:c>
      <x:c r="N5" s="31" t="n">
        <x:f>IFERROR(M5/K5,0)</x:f>
        <x:v>0.013892334408335401</x:v>
      </x:c>
      <x:c r="O5" s="52" t="str">
        <x:f>IF(ABS(N5)&lt;0.05,"On Track",IF(N5&gt;0,"Over Budget","Under Budget"))</x:f>
        <x:v>On Track</x:v>
      </x:c>
    </x:row>
    <x:row r="6">
      <x:c r="A6" s="48" t="n">
        <x:v>46082</x:v>
      </x:c>
      <x:c r="B6" s="30" t="n">
        <x:f>SUMIFS(Raw_Data!$E:$E,Raw_Data!$A:$A,$A6,Raw_Data!$D:$D,"Revenue")</x:f>
        <x:v>371100</x:v>
      </x:c>
      <x:c r="C6" s="30" t="n">
        <x:f>SUMIFS(Raw_Data!$F:$F,Raw_Data!$A:$A,$A6,Raw_Data!$D:$D,"Revenue")</x:f>
        <x:v>379000</x:v>
      </x:c>
      <x:c r="D6" s="30" t="n">
        <x:f>C6-B6</x:f>
        <x:v>7900</x:v>
      </x:c>
      <x:c r="E6" s="30" t="n">
        <x:f>SUMIFS(Raw_Data!$E:$E,Raw_Data!$A:$A,$A6,Raw_Data!$D:$D,"Operating Expense")</x:f>
        <x:v>356800</x:v>
      </x:c>
      <x:c r="F6" s="30" t="n">
        <x:f>SUMIFS(Raw_Data!$F:$F,Raw_Data!$A:$A,$A6,Raw_Data!$D:$D,"Operating Expense")</x:f>
        <x:v>359100</x:v>
      </x:c>
      <x:c r="G6" s="30" t="n">
        <x:f>F6-E6</x:f>
        <x:v>2300</x:v>
      </x:c>
      <x:c r="H6" s="30" t="n">
        <x:f>(C6-F6)-(B6-E6)</x:f>
        <x:v>5600</x:v>
      </x:c>
      <x:c r="J6" s="50" t="str">
        <x:v>Operations</x:v>
      </x:c>
      <x:c r="K6" s="30" t="n">
        <x:f>SUMIFS(Raw_Data!$E:$E,Raw_Data!$B:$B,$J6)</x:f>
        <x:v>1440400</x:v>
      </x:c>
      <x:c r="L6" s="30" t="n">
        <x:f>SUMIFS(Raw_Data!$F:$F,Raw_Data!$B:$B,$J6)</x:f>
        <x:v>1477400</x:v>
      </x:c>
      <x:c r="M6" s="30" t="n">
        <x:f>L6-K6</x:f>
        <x:v>37000</x:v>
      </x:c>
      <x:c r="N6" s="31" t="n">
        <x:f>IFERROR(M6/K6,0)</x:f>
        <x:v>0.025687309080810884</x:v>
      </x:c>
      <x:c r="O6" s="52" t="str">
        <x:f>IF(ABS(N6)&lt;0.05,"On Track",IF(N6&gt;0,"Over Budget","Under Budget"))</x:f>
        <x:v>On Track</x:v>
      </x:c>
    </x:row>
    <x:row r="7">
      <x:c r="A7" s="48" t="n">
        <x:v>46113</x:v>
      </x:c>
      <x:c r="B7" s="30" t="n">
        <x:f>SUMIFS(Raw_Data!$E:$E,Raw_Data!$A:$A,$A7,Raw_Data!$D:$D,"Revenue")</x:f>
        <x:v>375700</x:v>
      </x:c>
      <x:c r="C7" s="30" t="n">
        <x:f>SUMIFS(Raw_Data!$F:$F,Raw_Data!$A:$A,$A7,Raw_Data!$D:$D,"Revenue")</x:f>
        <x:v>383500</x:v>
      </x:c>
      <x:c r="D7" s="30" t="n">
        <x:f>C7-B7</x:f>
        <x:v>7800</x:v>
      </x:c>
      <x:c r="E7" s="30" t="n">
        <x:f>SUMIFS(Raw_Data!$E:$E,Raw_Data!$A:$A,$A7,Raw_Data!$D:$D,"Operating Expense")</x:f>
        <x:v>366300</x:v>
      </x:c>
      <x:c r="F7" s="30" t="n">
        <x:f>SUMIFS(Raw_Data!$F:$F,Raw_Data!$A:$A,$A7,Raw_Data!$D:$D,"Operating Expense")</x:f>
        <x:v>380700</x:v>
      </x:c>
      <x:c r="G7" s="30" t="n">
        <x:f>F7-E7</x:f>
        <x:v>14400</x:v>
      </x:c>
      <x:c r="H7" s="30" t="n">
        <x:f>(C7-F7)-(B7-E7)</x:f>
        <x:v>-6600</x:v>
      </x:c>
      <x:c r="J7" s="50" t="str">
        <x:v>Finance</x:v>
      </x:c>
      <x:c r="K7" s="30" t="n">
        <x:f>SUMIFS(Raw_Data!$E:$E,Raw_Data!$B:$B,$J7)</x:f>
        <x:v>847700</x:v>
      </x:c>
      <x:c r="L7" s="30" t="n">
        <x:f>SUMIFS(Raw_Data!$F:$F,Raw_Data!$B:$B,$J7)</x:f>
        <x:v>854000</x:v>
      </x:c>
      <x:c r="M7" s="30" t="n">
        <x:f>L7-K7</x:f>
        <x:v>6300</x:v>
      </x:c>
      <x:c r="N7" s="31" t="n">
        <x:f>IFERROR(M7/K7,0)</x:f>
        <x:v>0.007431874483897605</x:v>
      </x:c>
      <x:c r="O7" s="52" t="str">
        <x:f>IF(ABS(N7)&lt;0.05,"On Track",IF(N7&gt;0,"Over Budget","Under Budget"))</x:f>
        <x:v>On Track</x:v>
      </x:c>
    </x:row>
    <x:row r="8">
      <x:c r="A8" s="48" t="n">
        <x:v>46143</x:v>
      </x:c>
      <x:c r="B8" s="30" t="n">
        <x:f>SUMIFS(Raw_Data!$E:$E,Raw_Data!$A:$A,$A8,Raw_Data!$D:$D,"Revenue")</x:f>
        <x:v>363600</x:v>
      </x:c>
      <x:c r="C8" s="30" t="n">
        <x:f>SUMIFS(Raw_Data!$F:$F,Raw_Data!$A:$A,$A8,Raw_Data!$D:$D,"Revenue")</x:f>
        <x:v>380300</x:v>
      </x:c>
      <x:c r="D8" s="30" t="n">
        <x:f>C8-B8</x:f>
        <x:v>16700</x:v>
      </x:c>
      <x:c r="E8" s="30" t="n">
        <x:f>SUMIFS(Raw_Data!$E:$E,Raw_Data!$A:$A,$A8,Raw_Data!$D:$D,"Operating Expense")</x:f>
        <x:v>361400</x:v>
      </x:c>
      <x:c r="F8" s="30" t="n">
        <x:f>SUMIFS(Raw_Data!$F:$F,Raw_Data!$A:$A,$A8,Raw_Data!$D:$D,"Operating Expense")</x:f>
        <x:v>359100</x:v>
      </x:c>
      <x:c r="G8" s="30" t="n">
        <x:f>F8-E8</x:f>
        <x:v>-2300</x:v>
      </x:c>
      <x:c r="H8" s="30" t="n">
        <x:f>(C8-F8)-(B8-E8)</x:f>
        <x:v>19000</x:v>
      </x:c>
      <x:c r="J8" s="50" t="str">
        <x:v>HR</x:v>
      </x:c>
      <x:c r="K8" s="30" t="n">
        <x:f>SUMIFS(Raw_Data!$E:$E,Raw_Data!$B:$B,$J8)</x:f>
        <x:v>586700</x:v>
      </x:c>
      <x:c r="L8" s="30" t="n">
        <x:f>SUMIFS(Raw_Data!$F:$F,Raw_Data!$B:$B,$J8)</x:f>
        <x:v>585500</x:v>
      </x:c>
      <x:c r="M8" s="30" t="n">
        <x:f>L8-K8</x:f>
        <x:v>-1200</x:v>
      </x:c>
      <x:c r="N8" s="31" t="n">
        <x:f>IFERROR(M8/K8,0)</x:f>
        <x:v>-0.0020453383330492586</x:v>
      </x:c>
      <x:c r="O8" s="52" t="str">
        <x:f>IF(ABS(N8)&lt;0.05,"On Track",IF(N8&gt;0,"Over Budget","Under Budget"))</x:f>
        <x:v>On Track</x:v>
      </x:c>
    </x:row>
    <x:row r="9">
      <x:c r="A9" s="48" t="n">
        <x:v>46174</x:v>
      </x:c>
      <x:c r="B9" s="30" t="n">
        <x:f>SUMIFS(Raw_Data!$E:$E,Raw_Data!$A:$A,$A9,Raw_Data!$D:$D,"Revenue")</x:f>
        <x:v>357300</x:v>
      </x:c>
      <x:c r="C9" s="30" t="n">
        <x:f>SUMIFS(Raw_Data!$F:$F,Raw_Data!$A:$A,$A9,Raw_Data!$D:$D,"Revenue")</x:f>
        <x:v>364500</x:v>
      </x:c>
      <x:c r="D9" s="30" t="n">
        <x:f>C9-B9</x:f>
        <x:v>7200</x:v>
      </x:c>
      <x:c r="E9" s="30" t="n">
        <x:f>SUMIFS(Raw_Data!$E:$E,Raw_Data!$A:$A,$A9,Raw_Data!$D:$D,"Operating Expense")</x:f>
        <x:v>365400</x:v>
      </x:c>
      <x:c r="F9" s="30" t="n">
        <x:f>SUMIFS(Raw_Data!$F:$F,Raw_Data!$A:$A,$A9,Raw_Data!$D:$D,"Operating Expense")</x:f>
        <x:v>373200</x:v>
      </x:c>
      <x:c r="G9" s="30" t="n">
        <x:f>F9-E9</x:f>
        <x:v>7800</x:v>
      </x:c>
      <x:c r="H9" s="30" t="n">
        <x:f>(C9-F9)-(B9-E9)</x:f>
        <x:v>-600</x:v>
      </x:c>
    </x:row>
    <x:row r="10">
      <x:c r="A10" s="48" t="n">
        <x:v>46204</x:v>
      </x:c>
      <x:c r="B10" s="30" t="n">
        <x:f>SUMIFS(Raw_Data!$E:$E,Raw_Data!$A:$A,$A10,Raw_Data!$D:$D,"Revenue")</x:f>
        <x:v>334700</x:v>
      </x:c>
      <x:c r="C10" s="30" t="n">
        <x:f>SUMIFS(Raw_Data!$F:$F,Raw_Data!$A:$A,$A10,Raw_Data!$D:$D,"Revenue")</x:f>
        <x:v>329900</x:v>
      </x:c>
      <x:c r="D10" s="30" t="n">
        <x:f>C10-B10</x:f>
        <x:v>-4800</x:v>
      </x:c>
      <x:c r="E10" s="30" t="n">
        <x:f>SUMIFS(Raw_Data!$E:$E,Raw_Data!$A:$A,$A10,Raw_Data!$D:$D,"Operating Expense")</x:f>
        <x:v>363100</x:v>
      </x:c>
      <x:c r="F10" s="30" t="n">
        <x:f>SUMIFS(Raw_Data!$F:$F,Raw_Data!$A:$A,$A10,Raw_Data!$D:$D,"Operating Expense")</x:f>
        <x:v>369400</x:v>
      </x:c>
      <x:c r="G10" s="30" t="n">
        <x:f>F10-E10</x:f>
        <x:v>6300</x:v>
      </x:c>
      <x:c r="H10" s="30" t="n">
        <x:f>(C10-F10)-(B10-E10)</x:f>
        <x:v>-11100</x:v>
      </x:c>
    </x:row>
    <x:row r="11">
      <x:c r="A11" s="48" t="n">
        <x:v>46235</x:v>
      </x:c>
      <x:c r="B11" s="30" t="n">
        <x:f>SUMIFS(Raw_Data!$E:$E,Raw_Data!$A:$A,$A11,Raw_Data!$D:$D,"Revenue")</x:f>
        <x:v>308600</x:v>
      </x:c>
      <x:c r="C11" s="30" t="n">
        <x:f>SUMIFS(Raw_Data!$F:$F,Raw_Data!$A:$A,$A11,Raw_Data!$D:$D,"Revenue")</x:f>
        <x:v>320700</x:v>
      </x:c>
      <x:c r="D11" s="30" t="n">
        <x:f>C11-B11</x:f>
        <x:v>12100</x:v>
      </x:c>
      <x:c r="E11" s="30" t="n">
        <x:f>SUMIFS(Raw_Data!$E:$E,Raw_Data!$A:$A,$A11,Raw_Data!$D:$D,"Operating Expense")</x:f>
        <x:v>362300</x:v>
      </x:c>
      <x:c r="F11" s="30" t="n">
        <x:f>SUMIFS(Raw_Data!$F:$F,Raw_Data!$A:$A,$A11,Raw_Data!$D:$D,"Operating Expense")</x:f>
        <x:v>368200</x:v>
      </x:c>
      <x:c r="G11" s="30" t="n">
        <x:f>F11-E11</x:f>
        <x:v>5900</x:v>
      </x:c>
      <x:c r="H11" s="30" t="n">
        <x:f>(C11-F11)-(B11-E11)</x:f>
        <x:v>6200</x:v>
      </x:c>
    </x:row>
    <x:row r="12">
      <x:c r="A12" s="48" t="n">
        <x:v>46266</x:v>
      </x:c>
      <x:c r="B12" s="30" t="n">
        <x:f>SUMIFS(Raw_Data!$E:$E,Raw_Data!$A:$A,$A12,Raw_Data!$D:$D,"Revenue")</x:f>
        <x:v>292500</x:v>
      </x:c>
      <x:c r="C12" s="30" t="n">
        <x:f>SUMIFS(Raw_Data!$F:$F,Raw_Data!$A:$A,$A12,Raw_Data!$D:$D,"Revenue")</x:f>
        <x:v>278300</x:v>
      </x:c>
      <x:c r="D12" s="30" t="n">
        <x:f>C12-B12</x:f>
        <x:v>-14200</x:v>
      </x:c>
      <x:c r="E12" s="30" t="n">
        <x:f>SUMIFS(Raw_Data!$E:$E,Raw_Data!$A:$A,$A12,Raw_Data!$D:$D,"Operating Expense")</x:f>
        <x:v>364300</x:v>
      </x:c>
      <x:c r="F12" s="30" t="n">
        <x:f>SUMIFS(Raw_Data!$F:$F,Raw_Data!$A:$A,$A12,Raw_Data!$D:$D,"Operating Expense")</x:f>
        <x:v>362600</x:v>
      </x:c>
      <x:c r="G12" s="30" t="n">
        <x:f>F12-E12</x:f>
        <x:v>-1700</x:v>
      </x:c>
      <x:c r="H12" s="30" t="n">
        <x:f>(C12-F12)-(B12-E12)</x:f>
        <x:v>-12500</x:v>
      </x:c>
    </x:row>
    <x:row r="13">
      <x:c r="A13" s="48" t="n">
        <x:v>46296</x:v>
      </x:c>
      <x:c r="B13" s="30" t="n">
        <x:f>SUMIFS(Raw_Data!$E:$E,Raw_Data!$A:$A,$A13,Raw_Data!$D:$D,"Revenue")</x:f>
        <x:v>293200</x:v>
      </x:c>
      <x:c r="C13" s="30" t="n">
        <x:f>SUMIFS(Raw_Data!$F:$F,Raw_Data!$A:$A,$A13,Raw_Data!$D:$D,"Revenue")</x:f>
        <x:v>310400</x:v>
      </x:c>
      <x:c r="D13" s="30" t="n">
        <x:f>C13-B13</x:f>
        <x:v>17200</x:v>
      </x:c>
      <x:c r="E13" s="30" t="n">
        <x:f>SUMIFS(Raw_Data!$E:$E,Raw_Data!$A:$A,$A13,Raw_Data!$D:$D,"Operating Expense")</x:f>
        <x:v>362300</x:v>
      </x:c>
      <x:c r="F13" s="30" t="n">
        <x:f>SUMIFS(Raw_Data!$F:$F,Raw_Data!$A:$A,$A13,Raw_Data!$D:$D,"Operating Expense")</x:f>
        <x:v>385900</x:v>
      </x:c>
      <x:c r="G13" s="30" t="n">
        <x:f>F13-E13</x:f>
        <x:v>23600</x:v>
      </x:c>
      <x:c r="H13" s="30" t="n">
        <x:f>(C13-F13)-(B13-E13)</x:f>
        <x:v>-6400</x:v>
      </x:c>
    </x:row>
    <x:row r="14">
      <x:c r="A14" s="48" t="n">
        <x:v>46327</x:v>
      </x:c>
      <x:c r="B14" s="30" t="n">
        <x:f>SUMIFS(Raw_Data!$E:$E,Raw_Data!$A:$A,$A14,Raw_Data!$D:$D,"Revenue")</x:f>
        <x:v>290700</x:v>
      </x:c>
      <x:c r="C14" s="30" t="n">
        <x:f>SUMIFS(Raw_Data!$F:$F,Raw_Data!$A:$A,$A14,Raw_Data!$D:$D,"Revenue")</x:f>
        <x:v>303500</x:v>
      </x:c>
      <x:c r="D14" s="30" t="n">
        <x:f>C14-B14</x:f>
        <x:v>12800</x:v>
      </x:c>
      <x:c r="E14" s="30" t="n">
        <x:f>SUMIFS(Raw_Data!$E:$E,Raw_Data!$A:$A,$A14,Raw_Data!$D:$D,"Operating Expense")</x:f>
        <x:v>366800</x:v>
      </x:c>
      <x:c r="F14" s="30" t="n">
        <x:f>SUMIFS(Raw_Data!$F:$F,Raw_Data!$A:$A,$A14,Raw_Data!$D:$D,"Operating Expense")</x:f>
        <x:v>369300</x:v>
      </x:c>
      <x:c r="G14" s="30" t="n">
        <x:f>F14-E14</x:f>
        <x:v>2500</x:v>
      </x:c>
      <x:c r="H14" s="30" t="n">
        <x:f>(C14-F14)-(B14-E14)</x:f>
        <x:v>10300</x:v>
      </x:c>
    </x:row>
    <x:row r="15">
      <x:c r="A15" s="48" t="n">
        <x:v>46357</x:v>
      </x:c>
      <x:c r="B15" s="30" t="n">
        <x:f>SUMIFS(Raw_Data!$E:$E,Raw_Data!$A:$A,$A15,Raw_Data!$D:$D,"Revenue")</x:f>
        <x:v>314800</x:v>
      </x:c>
      <x:c r="C15" s="30" t="n">
        <x:f>SUMIFS(Raw_Data!$F:$F,Raw_Data!$A:$A,$A15,Raw_Data!$D:$D,"Revenue")</x:f>
        <x:v>304600</x:v>
      </x:c>
      <x:c r="D15" s="30" t="n">
        <x:f>C15-B15</x:f>
        <x:v>-10200</x:v>
      </x:c>
      <x:c r="E15" s="30" t="n">
        <x:f>SUMIFS(Raw_Data!$E:$E,Raw_Data!$A:$A,$A15,Raw_Data!$D:$D,"Operating Expense")</x:f>
        <x:v>364300</x:v>
      </x:c>
      <x:c r="F15" s="30" t="n">
        <x:f>SUMIFS(Raw_Data!$F:$F,Raw_Data!$A:$A,$A15,Raw_Data!$D:$D,"Operating Expense")</x:f>
        <x:v>379300</x:v>
      </x:c>
      <x:c r="G15" s="30" t="n">
        <x:f>F15-E15</x:f>
        <x:v>15000</x:v>
      </x:c>
      <x:c r="H15" s="30" t="n">
        <x:f>(C15-F15)-(B15-E15)</x:f>
        <x:v>-25200</x:v>
      </x:c>
    </x:row>
    <x:row r="16">
      <x:c r="A16" s="41" t="str">
        <x:v>TOTAL</x:v>
      </x:c>
      <x:c r="B16" s="46" t="n">
        <x:f>SUM(B4:B15)</x:f>
        <x:v>3994000</x:v>
      </x:c>
      <x:c r="C16" s="46" t="n">
        <x:f>SUM(C4:C15)</x:f>
        <x:v>4034400</x:v>
      </x:c>
      <x:c r="D16" s="46" t="n">
        <x:f>SUM(D4:D15)</x:f>
        <x:v>40400</x:v>
      </x:c>
      <x:c r="E16" s="46" t="n">
        <x:f>SUM(E4:E15)</x:f>
        <x:v>4358700</x:v>
      </x:c>
      <x:c r="F16" s="46" t="n">
        <x:f>SUM(F4:F15)</x:f>
        <x:v>4431800</x:v>
      </x:c>
      <x:c r="G16" s="46" t="n">
        <x:f>SUM(G4:G15)</x:f>
        <x:v>73100</x:v>
      </x:c>
      <x:c r="H16" s="46" t="n">
        <x:f>SUM(H4:H15)</x:f>
        <x:v>-32700</x:v>
      </x:c>
    </x:row>
  </x:sheetData>
  <x:mergeCells>
    <x:mergeCell ref="A1:H1"/>
    <x:mergeCell ref="J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0" customHeight="1">
      <x:c r="A1" s="56" t="str">
        <x:v>NORTHSTAR RETAIL LTD — FP&amp;A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 ht="20" customHeight="1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 ht="20" customHeight="1"/>
    <x:row r="4" ht="20" customHeight="1">
      <x:c r="A4" s="201" t="str">
        <x:v>Total Revenue Actual</x:v>
      </x:c>
      <x:c r="B4" s="202"/>
      <x:c r="C4" s="203"/>
      <x:c r="D4" s="201" t="str">
        <x:v>Total Expense Actual</x:v>
      </x:c>
      <x:c r="E4" s="202"/>
      <x:c r="F4" s="203"/>
      <x:c r="G4" s="201" t="str">
        <x:v>Operating Profit Actual</x:v>
      </x:c>
      <x:c r="H4" s="202"/>
      <x:c r="I4" s="203"/>
      <x:c r="J4" s="201" t="str">
        <x:v>Profit Variance vs Budget</x:v>
      </x:c>
      <x:c r="K4" s="202"/>
      <x:c r="L4" s="203"/>
    </x:row>
    <x:row r="5" ht="20" customHeight="1">
      <x:c r="A5" s="216" t="n">
        <x:f>Analysis!C16</x:f>
        <x:v>4034400</x:v>
      </x:c>
      <x:c r="B5" s="217"/>
      <x:c r="C5" s="218"/>
      <x:c r="D5" s="216" t="n">
        <x:f>Analysis!F16</x:f>
        <x:v>4431800</x:v>
      </x:c>
      <x:c r="E5" s="217"/>
      <x:c r="F5" s="218"/>
      <x:c r="G5" s="216" t="n">
        <x:f>Analysis!C16-Analysis!F16</x:f>
        <x:v>-397400</x:v>
      </x:c>
      <x:c r="H5" s="217"/>
      <x:c r="I5" s="218"/>
      <x:c r="J5" s="216" t="n">
        <x:f>Analysis!H16</x:f>
        <x:v>-32700</x:v>
      </x:c>
      <x:c r="K5" s="217"/>
      <x:c r="L5" s="218"/>
    </x:row>
    <x:row r="6" ht="20" customHeight="1">
      <x:c r="A6" s="219"/>
      <x:c r="B6" s="220"/>
      <x:c r="C6" s="221"/>
      <x:c r="D6" s="219"/>
      <x:c r="E6" s="220"/>
      <x:c r="F6" s="221"/>
      <x:c r="G6" s="219"/>
      <x:c r="H6" s="220"/>
      <x:c r="I6" s="221"/>
      <x:c r="J6" s="219"/>
      <x:c r="K6" s="220"/>
      <x:c r="L6" s="221"/>
    </x:row>
    <x:row r="7" ht="20" customHeight="1"/>
    <x:row r="8" ht="20" customHeight="1"/>
    <x:row r="9" ht="20" customHeight="1">
      <x:c r="A9" t="str">
        <x:v>Month</x:v>
      </x:c>
      <x:c r="B9" t="str">
        <x:v>Budget Revenue</x:v>
      </x:c>
      <x:c r="C9" t="str">
        <x:v>Actual Revenue</x:v>
      </x:c>
      <x:c r="E9" t="str">
        <x:v>Department</x:v>
      </x:c>
      <x:c r="F9" t="str">
        <x:v>Budget</x:v>
      </x:c>
      <x:c r="G9" t="str">
        <x:v>Actual</x:v>
      </x:c>
    </x:row>
    <x:row r="10" ht="20" customHeight="1">
      <x:c r="A10" s="134" t="n">
        <x:v>46023</x:v>
      </x:c>
      <x:c r="B10" s="22" t="n">
        <x:f>Analysis!B4</x:f>
        <x:v>331600</x:v>
      </x:c>
      <x:c r="C10" s="22" t="n">
        <x:f>Analysis!C4</x:f>
        <x:v>309100</x:v>
      </x:c>
      <x:c r="E10" t="str">
        <x:v>Sales</x:v>
      </x:c>
      <x:c r="F10" s="22" t="n">
        <x:f>Analysis!K4</x:f>
        <x:v>3865500</x:v>
      </x:c>
      <x:c r="G10" s="22" t="n">
        <x:f>Analysis!L4</x:f>
        <x:v>3914500</x:v>
      </x:c>
    </x:row>
    <x:row r="11" ht="20" customHeight="1">
      <x:c r="A11" s="134" t="n">
        <x:v>46054</x:v>
      </x:c>
      <x:c r="B11" s="22" t="n">
        <x:f>Analysis!B5</x:f>
        <x:v>360200</x:v>
      </x:c>
      <x:c r="C11" s="22" t="n">
        <x:f>Analysis!C5</x:f>
        <x:v>370600</x:v>
      </x:c>
      <x:c r="E11" t="str">
        <x:v>Marketing</x:v>
      </x:c>
      <x:c r="F11" s="22" t="n">
        <x:f>Analysis!K5</x:f>
        <x:v>1612400</x:v>
      </x:c>
      <x:c r="G11" s="22" t="n">
        <x:f>Analysis!L5</x:f>
        <x:v>1634800</x:v>
      </x:c>
    </x:row>
    <x:row r="12" ht="20" customHeight="1">
      <x:c r="A12" s="134" t="n">
        <x:v>46082</x:v>
      </x:c>
      <x:c r="B12" s="22" t="n">
        <x:f>Analysis!B6</x:f>
        <x:v>371100</x:v>
      </x:c>
      <x:c r="C12" s="22" t="n">
        <x:f>Analysis!C6</x:f>
        <x:v>379000</x:v>
      </x:c>
      <x:c r="E12" t="str">
        <x:v>Operations</x:v>
      </x:c>
      <x:c r="F12" s="22" t="n">
        <x:f>Analysis!K6</x:f>
        <x:v>1440400</x:v>
      </x:c>
      <x:c r="G12" s="22" t="n">
        <x:f>Analysis!L6</x:f>
        <x:v>1477400</x:v>
      </x:c>
    </x:row>
    <x:row r="13" ht="20" customHeight="1">
      <x:c r="A13" s="134" t="n">
        <x:v>46113</x:v>
      </x:c>
      <x:c r="B13" s="22" t="n">
        <x:f>Analysis!B7</x:f>
        <x:v>375700</x:v>
      </x:c>
      <x:c r="C13" s="22" t="n">
        <x:f>Analysis!C7</x:f>
        <x:v>383500</x:v>
      </x:c>
      <x:c r="E13" t="str">
        <x:v>Finance</x:v>
      </x:c>
      <x:c r="F13" s="22" t="n">
        <x:f>Analysis!K7</x:f>
        <x:v>847700</x:v>
      </x:c>
      <x:c r="G13" s="22" t="n">
        <x:f>Analysis!L7</x:f>
        <x:v>854000</x:v>
      </x:c>
    </x:row>
    <x:row r="14" ht="20" customHeight="1">
      <x:c r="A14" s="134" t="n">
        <x:v>46143</x:v>
      </x:c>
      <x:c r="B14" s="22" t="n">
        <x:f>Analysis!B8</x:f>
        <x:v>363600</x:v>
      </x:c>
      <x:c r="C14" s="22" t="n">
        <x:f>Analysis!C8</x:f>
        <x:v>380300</x:v>
      </x:c>
      <x:c r="E14" t="str">
        <x:v>HR</x:v>
      </x:c>
      <x:c r="F14" s="22" t="n">
        <x:f>Analysis!K8</x:f>
        <x:v>586700</x:v>
      </x:c>
      <x:c r="G14" s="22" t="n">
        <x:f>Analysis!L8</x:f>
        <x:v>585500</x:v>
      </x:c>
    </x:row>
    <x:row r="15" ht="20" customHeight="1">
      <x:c r="A15" s="134" t="n">
        <x:v>46174</x:v>
      </x:c>
      <x:c r="B15" s="22" t="n">
        <x:f>Analysis!B9</x:f>
        <x:v>357300</x:v>
      </x:c>
      <x:c r="C15" s="22" t="n">
        <x:f>Analysis!C9</x:f>
        <x:v>364500</x:v>
      </x:c>
    </x:row>
    <x:row r="16" ht="20" customHeight="1">
      <x:c r="A16" s="134" t="n">
        <x:v>46204</x:v>
      </x:c>
      <x:c r="B16" s="22" t="n">
        <x:f>Analysis!B10</x:f>
        <x:v>334700</x:v>
      </x:c>
      <x:c r="C16" s="22" t="n">
        <x:f>Analysis!C10</x:f>
        <x:v>329900</x:v>
      </x:c>
    </x:row>
    <x:row r="17" ht="20" customHeight="1">
      <x:c r="A17" s="134" t="n">
        <x:v>46235</x:v>
      </x:c>
      <x:c r="B17" s="22" t="n">
        <x:f>Analysis!B11</x:f>
        <x:v>308600</x:v>
      </x:c>
      <x:c r="C17" s="22" t="n">
        <x:f>Analysis!C11</x:f>
        <x:v>320700</x:v>
      </x:c>
    </x:row>
    <x:row r="18" ht="20" customHeight="1">
      <x:c r="A18" s="134" t="n">
        <x:v>46266</x:v>
      </x:c>
      <x:c r="B18" s="22" t="n">
        <x:f>Analysis!B12</x:f>
        <x:v>292500</x:v>
      </x:c>
      <x:c r="C18" s="22" t="n">
        <x:f>Analysis!C12</x:f>
        <x:v>278300</x:v>
      </x:c>
    </x:row>
    <x:row r="19" ht="20" customHeight="1">
      <x:c r="A19" s="134" t="n">
        <x:v>46296</x:v>
      </x:c>
      <x:c r="B19" s="22" t="n">
        <x:f>Analysis!B13</x:f>
        <x:v>293200</x:v>
      </x:c>
      <x:c r="C19" s="22" t="n">
        <x:f>Analysis!C13</x:f>
        <x:v>310400</x:v>
      </x:c>
    </x:row>
    <x:row r="20" ht="20" customHeight="1">
      <x:c r="A20" s="134" t="n">
        <x:v>46327</x:v>
      </x:c>
      <x:c r="B20" s="22" t="n">
        <x:f>Analysis!B14</x:f>
        <x:v>290700</x:v>
      </x:c>
      <x:c r="C20" s="22" t="n">
        <x:f>Analysis!C14</x:f>
        <x:v>303500</x:v>
      </x:c>
    </x:row>
    <x:row r="21" ht="20" customHeight="1">
      <x:c r="A21" s="134" t="n">
        <x:v>46357</x:v>
      </x:c>
      <x:c r="B21" s="22" t="n">
        <x:f>Analysis!B15</x:f>
        <x:v>314800</x:v>
      </x:c>
      <x:c r="C21" s="22" t="n">
        <x:f>Analysis!C15</x:f>
        <x:v>304600</x:v>
      </x:c>
    </x:row>
    <x:row r="22" ht="20" customHeight="1"/>
    <x:row r="23" ht="20" customHeight="1"/>
    <x:row r="24" ht="20" customHeight="1">
      <x:c r="A24" s="16" t="str">
        <x:v>Management Commentary</x:v>
      </x:c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 ht="20" customHeight="1">
      <x:c r="A25" s="154" t="str">
        <x:f>IF(Analysis!H16&gt;=0,"Operating profit is ahead of budget. Review the strongest revenue drivers and maintain cost control.","Operating profit is behind budget. Investigate revenue shortfalls and departments with overspending.")</x:f>
        <x:v>Operating profit is behind budget. Investigate revenue shortfalls and departments with overspending.</x:v>
      </x:c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6"/>
    </x:row>
    <x:row r="26" ht="20" customHeight="1">
      <x:c r="A26" s="157"/>
      <x:c r="B26" s="158"/>
      <x:c r="C26" s="158"/>
      <x:c r="D26" s="158"/>
      <x:c r="E26" s="158"/>
      <x:c r="F26" s="158"/>
      <x:c r="G26" s="158"/>
      <x:c r="H26" s="158"/>
      <x:c r="I26" s="158"/>
      <x:c r="J26" s="158"/>
      <x:c r="K26" s="158"/>
      <x:c r="L26" s="159"/>
    </x:row>
    <x:row r="27" ht="20" customHeight="1">
      <x:c r="A27" s="157"/>
      <x:c r="B27" s="158"/>
      <x:c r="C27" s="158"/>
      <x:c r="D27" s="158"/>
      <x:c r="E27" s="158"/>
      <x:c r="F27" s="158"/>
      <x:c r="G27" s="158"/>
      <x:c r="H27" s="158"/>
      <x:c r="I27" s="158"/>
      <x:c r="J27" s="158"/>
      <x:c r="K27" s="158"/>
      <x:c r="L27" s="159"/>
    </x:row>
    <x:row r="28" ht="20" customHeight="1">
      <x:c r="A28" s="157"/>
      <x:c r="B28" s="158"/>
      <x:c r="C28" s="158"/>
      <x:c r="D28" s="158"/>
      <x:c r="E28" s="158"/>
      <x:c r="F28" s="158"/>
      <x:c r="G28" s="158"/>
      <x:c r="H28" s="158"/>
      <x:c r="I28" s="158"/>
      <x:c r="J28" s="158"/>
      <x:c r="K28" s="158"/>
      <x:c r="L28" s="159"/>
    </x:row>
    <x:row r="29" ht="20" customHeight="1">
      <x:c r="A29" s="160"/>
      <x:c r="B29" s="161"/>
      <x:c r="C29" s="161"/>
      <x:c r="D29" s="161"/>
      <x:c r="E29" s="161"/>
      <x:c r="F29" s="161"/>
      <x:c r="G29" s="161"/>
      <x:c r="H29" s="161"/>
      <x:c r="I29" s="161"/>
      <x:c r="J29" s="161"/>
      <x:c r="K29" s="161"/>
      <x:c r="L29" s="162"/>
    </x:row>
  </x:sheetData>
  <x:mergeCells>
    <x:mergeCell ref="A1:L2"/>
    <x:mergeCell ref="A24:L24"/>
    <x:mergeCell ref="A25:L29"/>
    <x:mergeCell ref="A4:C4"/>
    <x:mergeCell ref="A5:C6"/>
    <x:mergeCell ref="D4:F4"/>
    <x:mergeCell ref="D5:F6"/>
    <x:mergeCell ref="G4:I4"/>
    <x:mergeCell ref="G5:I6"/>
    <x:mergeCell ref="J4:L4"/>
    <x:mergeCell ref="J5:L6"/>
  </x:mergeCells>
  <x:pageMargins left="0.7" right="0.7" top="0.75" bottom="0.75" header="0.3" footer="0.3"/>
  <x:drawing xmlns:r="http://schemas.openxmlformats.org/officeDocument/2006/relationships" r:id="R1bb707e1f2ce404a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</x:cols>
  <x:sheetData>
    <x:row r="1">
      <x:c r="A1" s="4" t="str">
        <x:v>PROJECT ASSUMPTIONS</x:v>
      </x:c>
      <x:c r="B1" s="4"/>
      <x:c r="C1" s="4"/>
      <x:c r="D1" s="4"/>
    </x:row>
    <x:row r="3">
      <x:c r="A3" s="9" t="str">
        <x:v>Assumption</x:v>
      </x:c>
      <x:c r="B3" s="9" t="str">
        <x:v>Value</x:v>
      </x:c>
    </x:row>
    <x:row r="4">
      <x:c r="A4" t="str">
        <x:v>Company</x:v>
      </x:c>
      <x:c r="B4" s="12" t="str">
        <x:v>Northstar Retail Ltd</x:v>
      </x:c>
    </x:row>
    <x:row r="5">
      <x:c r="A5" t="str">
        <x:v>Currency</x:v>
      </x:c>
      <x:c r="B5" s="12" t="str">
        <x:v>GBP</x:v>
      </x:c>
    </x:row>
    <x:row r="6">
      <x:c r="A6" t="str">
        <x:v>Financial Year</x:v>
      </x:c>
      <x:c r="B6" s="12" t="str">
        <x:v>2026</x:v>
      </x:c>
    </x:row>
    <x:row r="7">
      <x:c r="A7" t="str">
        <x:v>Favourable variance threshold</x:v>
      </x:c>
      <x:c r="B7" s="14" t="n">
        <x:v>0.05</x:v>
      </x:c>
    </x:row>
    <x:row r="8">
      <x:c r="A8" t="str">
        <x:v>Unfavourable variance threshold</x:v>
      </x:c>
      <x:c r="B8" s="14" t="n">
        <x:v>-0.05</x:v>
      </x:c>
    </x:row>
  </x:sheetData>
  <x:mergeCells>
    <x:mergeCell ref="A1:D1"/>
  </x:mergeCells>
  <x:pageMargins left="0.7" right="0.7" top="0.75" bottom="0.75" header="0.3" footer="0.3"/>
</x:worksheet>
</file>